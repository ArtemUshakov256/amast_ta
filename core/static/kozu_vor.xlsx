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/>
  <mc:AlternateContent xmlns:mc="http://schemas.openxmlformats.org/markup-compatibility/2006">
    <mc:Choice Requires="x15">
      <x15ac:absPath xmlns:x15ac="http://schemas.microsoft.com/office/spreadsheetml/2010/11/ac" url="C:\Users\Artem\YandexDisk\Удаленка\Общий диск\AMAST-автоматизация\amast_ta\core\static\"/>
    </mc:Choice>
  </mc:AlternateContent>
  <xr:revisionPtr revIDLastSave="0" documentId="13_ncr:1_{1BC2A9B9-3CF8-4A69-9EE3-3427086A8EAC}" xr6:coauthVersionLast="47" xr6:coauthVersionMax="47" xr10:uidLastSave="{00000000-0000-0000-0000-000000000000}"/>
  <bookViews>
    <workbookView xWindow="1152" yWindow="1152" windowWidth="17280" windowHeight="8880" activeTab="1" xr2:uid="{8527E5F6-A312-4E33-AF0A-77ACF14CC2D0}"/>
  </bookViews>
  <sheets>
    <sheet name="Исходные данные" sheetId="1" r:id="rId1"/>
    <sheet name="ВОР без габиона" sheetId="3" r:id="rId2"/>
    <sheet name="ВОР с габионом" sheetId="2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D25" i="3" l="1"/>
  <c r="E25" i="3" s="1"/>
  <c r="E27" i="3" s="1"/>
  <c r="E22" i="3"/>
  <c r="D20" i="3"/>
  <c r="E20" i="3" s="1"/>
  <c r="D15" i="3"/>
  <c r="E15" i="3" s="1"/>
  <c r="D193" i="3"/>
  <c r="D185" i="3"/>
  <c r="D188" i="3" s="1"/>
  <c r="D177" i="3"/>
  <c r="D180" i="3" s="1"/>
  <c r="C173" i="3"/>
  <c r="B173" i="3"/>
  <c r="C172" i="3"/>
  <c r="B172" i="3"/>
  <c r="C171" i="3"/>
  <c r="B171" i="3"/>
  <c r="C169" i="3"/>
  <c r="E148" i="3"/>
  <c r="D146" i="3"/>
  <c r="E146" i="3" s="1"/>
  <c r="E136" i="3"/>
  <c r="E134" i="3"/>
  <c r="E133" i="3"/>
  <c r="E131" i="3"/>
  <c r="D124" i="3"/>
  <c r="D126" i="3" s="1"/>
  <c r="E126" i="3" s="1"/>
  <c r="D7" i="3"/>
  <c r="D11" i="3" s="1"/>
  <c r="D225" i="2"/>
  <c r="D228" i="2" s="1"/>
  <c r="D7" i="2"/>
  <c r="D15" i="2"/>
  <c r="E15" i="2" s="1"/>
  <c r="D21" i="2"/>
  <c r="E21" i="2" s="1"/>
  <c r="D233" i="2"/>
  <c r="D217" i="2"/>
  <c r="D220" i="2" s="1"/>
  <c r="E188" i="2"/>
  <c r="E176" i="2"/>
  <c r="E174" i="2"/>
  <c r="E173" i="2"/>
  <c r="E171" i="2"/>
  <c r="D27" i="3" l="1"/>
  <c r="E17" i="3"/>
  <c r="E7" i="3"/>
  <c r="D9" i="3"/>
  <c r="E9" i="3" s="1"/>
  <c r="E11" i="3"/>
  <c r="D173" i="3"/>
  <c r="E173" i="3" s="1"/>
  <c r="D169" i="3"/>
  <c r="E169" i="3" s="1"/>
  <c r="E124" i="3"/>
  <c r="D179" i="3"/>
  <c r="D10" i="3"/>
  <c r="D187" i="3"/>
  <c r="D24" i="2"/>
  <c r="E24" i="2" s="1"/>
  <c r="D227" i="2"/>
  <c r="D20" i="2"/>
  <c r="E20" i="2" s="1"/>
  <c r="D219" i="2"/>
  <c r="D186" i="2"/>
  <c r="E186" i="2" s="1"/>
  <c r="D18" i="1"/>
  <c r="D178" i="2" s="1"/>
  <c r="D164" i="2"/>
  <c r="D9" i="1"/>
  <c r="D17" i="1" l="1"/>
  <c r="D131" i="2" s="1"/>
  <c r="E131" i="2" s="1"/>
  <c r="D109" i="3"/>
  <c r="E109" i="3" s="1"/>
  <c r="D107" i="3"/>
  <c r="E107" i="3" s="1"/>
  <c r="D195" i="2"/>
  <c r="E195" i="2" s="1"/>
  <c r="D155" i="3"/>
  <c r="D138" i="3"/>
  <c r="D171" i="3"/>
  <c r="E171" i="3" s="1"/>
  <c r="D172" i="3"/>
  <c r="E172" i="3" s="1"/>
  <c r="E10" i="3"/>
  <c r="D166" i="2"/>
  <c r="E166" i="2" s="1"/>
  <c r="E164" i="2"/>
  <c r="D180" i="2"/>
  <c r="E180" i="2" s="1"/>
  <c r="E178" i="2"/>
  <c r="D149" i="2"/>
  <c r="E149" i="2" s="1"/>
  <c r="D147" i="2"/>
  <c r="E147" i="2" s="1"/>
  <c r="D201" i="2" l="1"/>
  <c r="E201" i="2" s="1"/>
  <c r="D193" i="2"/>
  <c r="E193" i="2" s="1"/>
  <c r="E138" i="3"/>
  <c r="D140" i="3"/>
  <c r="E140" i="3" s="1"/>
  <c r="E155" i="3"/>
  <c r="D161" i="3"/>
  <c r="D153" i="3"/>
  <c r="E153" i="3" s="1"/>
  <c r="D123" i="2"/>
  <c r="D83" i="3"/>
  <c r="D91" i="3"/>
  <c r="D203" i="2" l="1"/>
  <c r="E203" i="2" s="1"/>
  <c r="D125" i="2"/>
  <c r="E125" i="2" s="1"/>
  <c r="E123" i="2"/>
  <c r="E91" i="3"/>
  <c r="D93" i="3"/>
  <c r="E93" i="3" s="1"/>
  <c r="D85" i="3"/>
  <c r="E85" i="3" s="1"/>
  <c r="E83" i="3"/>
  <c r="E161" i="3"/>
  <c r="D163" i="3"/>
  <c r="E163" i="3" s="1"/>
  <c r="D64" i="2"/>
  <c r="E64" i="2" s="1"/>
  <c r="D38" i="2" l="1"/>
  <c r="D27" i="2"/>
  <c r="E27" i="2" s="1"/>
  <c r="D41" i="2" l="1"/>
  <c r="E41" i="2" s="1"/>
  <c r="E38" i="2"/>
  <c r="H12" i="1"/>
  <c r="H11" i="1"/>
  <c r="H14" i="1"/>
  <c r="H16" i="1"/>
  <c r="D76" i="3" s="1"/>
  <c r="H15" i="1"/>
  <c r="H13" i="1"/>
  <c r="D40" i="2"/>
  <c r="E40" i="2" s="1"/>
  <c r="D90" i="2" l="1"/>
  <c r="E90" i="2" s="1"/>
  <c r="D50" i="3"/>
  <c r="D106" i="2"/>
  <c r="D108" i="2" s="1"/>
  <c r="E108" i="2" s="1"/>
  <c r="D66" i="3"/>
  <c r="D80" i="3"/>
  <c r="E80" i="3" s="1"/>
  <c r="E76" i="3"/>
  <c r="D98" i="2"/>
  <c r="D100" i="2" s="1"/>
  <c r="E100" i="2" s="1"/>
  <c r="D58" i="3"/>
  <c r="D74" i="2"/>
  <c r="E74" i="2" s="1"/>
  <c r="D34" i="3"/>
  <c r="D82" i="2"/>
  <c r="D84" i="2" s="1"/>
  <c r="E84" i="2" s="1"/>
  <c r="D42" i="3"/>
  <c r="D92" i="2"/>
  <c r="E92" i="2" s="1"/>
  <c r="D116" i="2"/>
  <c r="D16" i="1"/>
  <c r="E106" i="2" l="1"/>
  <c r="D76" i="2"/>
  <c r="E76" i="2" s="1"/>
  <c r="E82" i="2"/>
  <c r="D44" i="3"/>
  <c r="E44" i="3" s="1"/>
  <c r="E42" i="3"/>
  <c r="D114" i="2"/>
  <c r="E114" i="2" s="1"/>
  <c r="D74" i="3"/>
  <c r="E74" i="3" s="1"/>
  <c r="E58" i="3"/>
  <c r="D60" i="3"/>
  <c r="E60" i="3" s="1"/>
  <c r="D68" i="3"/>
  <c r="E68" i="3" s="1"/>
  <c r="E66" i="3"/>
  <c r="E34" i="3"/>
  <c r="D79" i="3"/>
  <c r="D36" i="3"/>
  <c r="E36" i="3" s="1"/>
  <c r="D119" i="2"/>
  <c r="E119" i="2" s="1"/>
  <c r="E98" i="2"/>
  <c r="D52" i="3"/>
  <c r="E52" i="3" s="1"/>
  <c r="E50" i="3"/>
  <c r="D120" i="2"/>
  <c r="E120" i="2" s="1"/>
  <c r="E116" i="2"/>
  <c r="E79" i="3" l="1"/>
  <c r="D81" i="3"/>
  <c r="E81" i="3" s="1"/>
  <c r="D121" i="2"/>
  <c r="E121" i="2" s="1"/>
  <c r="C212" i="2" l="1"/>
  <c r="C213" i="2"/>
  <c r="C211" i="2"/>
  <c r="B212" i="2"/>
  <c r="B213" i="2"/>
  <c r="B211" i="2"/>
  <c r="C209" i="2"/>
  <c r="E9" i="1"/>
  <c r="D133" i="2"/>
  <c r="E133" i="2" s="1"/>
  <c r="D8" i="1"/>
  <c r="D101" i="3" l="1"/>
  <c r="D115" i="3"/>
  <c r="D141" i="2"/>
  <c r="D155" i="2"/>
  <c r="D58" i="2"/>
  <c r="D46" i="2"/>
  <c r="E46" i="2" s="1"/>
  <c r="E115" i="3" l="1"/>
  <c r="D117" i="3"/>
  <c r="E117" i="3" s="1"/>
  <c r="E101" i="3"/>
  <c r="D99" i="3"/>
  <c r="E99" i="3" s="1"/>
  <c r="D63" i="2"/>
  <c r="E63" i="2" s="1"/>
  <c r="E58" i="2"/>
  <c r="D157" i="2"/>
  <c r="E157" i="2" s="1"/>
  <c r="E155" i="2"/>
  <c r="D139" i="2"/>
  <c r="E139" i="2" s="1"/>
  <c r="E141" i="2"/>
  <c r="D54" i="2"/>
  <c r="E54" i="2" s="1"/>
  <c r="D49" i="2"/>
  <c r="E49" i="2" s="1"/>
  <c r="D48" i="2"/>
  <c r="E48" i="2" s="1"/>
  <c r="D35" i="2"/>
  <c r="E35" i="2" s="1"/>
  <c r="D30" i="2"/>
  <c r="E30" i="2" s="1"/>
  <c r="D29" i="2"/>
  <c r="E29" i="2" s="1"/>
  <c r="D62" i="2"/>
  <c r="E62" i="2" s="1"/>
  <c r="D60" i="2"/>
  <c r="E60" i="2" s="1"/>
  <c r="D61" i="2"/>
  <c r="E61" i="2" s="1"/>
  <c r="B6" i="1" l="1"/>
  <c r="E7" i="2" l="1"/>
  <c r="D9" i="2" l="1"/>
  <c r="D209" i="2"/>
  <c r="E209" i="2" s="1"/>
  <c r="D11" i="2"/>
  <c r="D10" i="2"/>
  <c r="D212" i="2" l="1"/>
  <c r="E212" i="2" s="1"/>
  <c r="E10" i="2"/>
  <c r="D213" i="2"/>
  <c r="E213" i="2" s="1"/>
  <c r="E11" i="2"/>
  <c r="D211" i="2"/>
  <c r="E211" i="2" s="1"/>
  <c r="E9" i="2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DFB5B522-680B-4941-88CE-F5B8A46D8A26}" keepAlive="1" name="Запрос — Таблица1" description="Соединение с запросом &quot;Таблица1&quot; в книге." type="5" refreshedVersion="0" background="1">
    <dbPr connection="Provider=Microsoft.Mashup.OleDb.1;Data Source=$Workbook$;Location=Таблица1;Extended Properties=&quot;&quot;" command="SELECT * FROM [Таблица1]"/>
  </connection>
</connections>
</file>

<file path=xl/sharedStrings.xml><?xml version="1.0" encoding="utf-8"?>
<sst xmlns="http://schemas.openxmlformats.org/spreadsheetml/2006/main" count="645" uniqueCount="192">
  <si>
    <t>№ п/п</t>
  </si>
  <si>
    <t>Раздел 1. Подготовительные работы</t>
  </si>
  <si>
    <t>Ед. изм.</t>
  </si>
  <si>
    <t>т</t>
  </si>
  <si>
    <t>м2</t>
  </si>
  <si>
    <t>Установка наружных инвентарных лесов</t>
  </si>
  <si>
    <t>100 м2</t>
  </si>
  <si>
    <t>Наименование показателя</t>
  </si>
  <si>
    <t>Щиты настила</t>
  </si>
  <si>
    <t>м3</t>
  </si>
  <si>
    <t>Детали деревянные лесов из пиломатериалов хвойных пород</t>
  </si>
  <si>
    <t>Детали стальных трубчатых лесов, укомплектованные пробками, крючками и хомутами, окрашенные</t>
  </si>
  <si>
    <t>Проверка наличия цепи между заземлителями и заземленными элементами</t>
  </si>
  <si>
    <t>______________  (ФИО)</t>
  </si>
  <si>
    <t>Высота стенки КОЗ-У-Ш</t>
  </si>
  <si>
    <t>1 т металлической констррукции</t>
  </si>
  <si>
    <t>Конструкции стальные</t>
  </si>
  <si>
    <t xml:space="preserve">1 т </t>
  </si>
  <si>
    <t>1 т</t>
  </si>
  <si>
    <t>M = n х m, где n - количество элементов, m - масса элемента</t>
  </si>
  <si>
    <t>Нижнее опорное кольцо</t>
  </si>
  <si>
    <t>Верхнее внутреннее кольцо</t>
  </si>
  <si>
    <t>Постановка болтов: строительных с гайками и шайбами</t>
  </si>
  <si>
    <t>100 шт. болтов</t>
  </si>
  <si>
    <t>1 м2</t>
  </si>
  <si>
    <t>Конструкции стальные индивидуальные решетчатые сварные массой до 0,1 т</t>
  </si>
  <si>
    <t>H,м</t>
  </si>
  <si>
    <t>D, м</t>
  </si>
  <si>
    <t>Общая масса металлоконструкций</t>
  </si>
  <si>
    <t>1 заземление</t>
  </si>
  <si>
    <t>Тросы вертикальные</t>
  </si>
  <si>
    <t>Тросы горизонтальные</t>
  </si>
  <si>
    <t>Раздел 7. Монтаж механизма быстрого сброса</t>
  </si>
  <si>
    <t>Площадь вертикальной проекции на фасад конструкции                                               Sбок = π(R1+R2)хH</t>
  </si>
  <si>
    <t>Установка стабилизаторов энергии КУ</t>
  </si>
  <si>
    <t>Стабилизатор энергии КУ</t>
  </si>
  <si>
    <t>100 м</t>
  </si>
  <si>
    <t>Установка крепления тросов</t>
  </si>
  <si>
    <t>Крепление тросов АБ</t>
  </si>
  <si>
    <t>Демпфер</t>
  </si>
  <si>
    <t>Установка шпилек конструкции СК-1</t>
  </si>
  <si>
    <t>Установка демпферов</t>
  </si>
  <si>
    <t>Установка уголков крепления системы сброса</t>
  </si>
  <si>
    <t>Установка конструкций системы сброса</t>
  </si>
  <si>
    <t xml:space="preserve">Составил </t>
  </si>
  <si>
    <t>Беляева А.А.(ФИО)</t>
  </si>
  <si>
    <t>10 м3 габионных конструкций</t>
  </si>
  <si>
    <t>Объем фундамента                                           V = HхBхL</t>
  </si>
  <si>
    <t>10 м2</t>
  </si>
  <si>
    <t>Проволока стальная низкоуглеродистая разного назначения оцинкованная диаметром 2,2 мм</t>
  </si>
  <si>
    <t>Конструкции габионные из оцинкованной сетки из проволоки диаметром 2,7 мм двойного кручения с шестигранными ячейками, размером 8х10 мм</t>
  </si>
  <si>
    <t>1000 м3</t>
  </si>
  <si>
    <t>1 м3 основания</t>
  </si>
  <si>
    <t>100 м3</t>
  </si>
  <si>
    <t>1000 м2</t>
  </si>
  <si>
    <t>Устройство фундамента из коробчатых габионов</t>
  </si>
  <si>
    <t>Щебень, фракция 90-150 мм</t>
  </si>
  <si>
    <t>Трос КОЗ-У-Т для обвязки габионов</t>
  </si>
  <si>
    <t>м</t>
  </si>
  <si>
    <t>Негорючий геотекстиль</t>
  </si>
  <si>
    <t>Раздел 8. Заземление</t>
  </si>
  <si>
    <t>Сетка "Манье"</t>
  </si>
  <si>
    <t>Раздел 3. Монтаж металлоконструкций КОЗ - У - Ш</t>
  </si>
  <si>
    <t>Устройство промежуточных колец и креплений</t>
  </si>
  <si>
    <t>Монтаж стоек (ног) и креплений</t>
  </si>
  <si>
    <t>Монтаж внутреннего и внешнего верхних наружных колец и раскосов</t>
  </si>
  <si>
    <t>Устройство распорного кольца и упоров</t>
  </si>
  <si>
    <t>Раздел 5. Устройство системы тросов</t>
  </si>
  <si>
    <t>n</t>
  </si>
  <si>
    <t>L, м</t>
  </si>
  <si>
    <t>Раздел 6. Устройство конструкций монтажного комплекта СК-1</t>
  </si>
  <si>
    <t>Устройство фасонок крепления шпилек</t>
  </si>
  <si>
    <t>Устройство пластин крепления стабилизаторов энергии КУ</t>
  </si>
  <si>
    <t>Монтаж нижнего опорного кольца и конструкций антисдвига СК-2</t>
  </si>
  <si>
    <t>Трос КОЗ-У-Т, Ø7 по ТУ №25.93.11-008-23118129-2024</t>
  </si>
  <si>
    <t>Трос стальной, Ø16</t>
  </si>
  <si>
    <t>шт.</t>
  </si>
  <si>
    <t xml:space="preserve">Установка тросов горизонтальных </t>
  </si>
  <si>
    <t xml:space="preserve">Установка тросов вертикальных </t>
  </si>
  <si>
    <t xml:space="preserve">Руководитель организации </t>
  </si>
  <si>
    <t>Раздел 8. Демонтаж лесов</t>
  </si>
  <si>
    <t>Раздел 9. Заземление</t>
  </si>
  <si>
    <t>Разборка наружных инвентарных лесов</t>
  </si>
  <si>
    <t>Ссылка на номера чертежей, ГОСТов и примечания</t>
  </si>
  <si>
    <t>Перечень рабочих операций</t>
  </si>
  <si>
    <t>Формула подсчета</t>
  </si>
  <si>
    <t>Подсчет объемов работ</t>
  </si>
  <si>
    <t>Материалы:</t>
  </si>
  <si>
    <t>Машины и механизмы:</t>
  </si>
  <si>
    <t>ГЭСН 08-07-001-02</t>
  </si>
  <si>
    <t>Автомобили бортовые, грузоподъемность до 5 т</t>
  </si>
  <si>
    <t>ГЭСН 01-01-031-01</t>
  </si>
  <si>
    <t>Бульдозеры при работе на других видах строительства 96 кВт (130 л.с.)</t>
  </si>
  <si>
    <t>ГЭСН 08-01-002-01</t>
  </si>
  <si>
    <t>Sсрез = πх(R^2-r^2), Vсрез = Sсрез х hраст.слоя.</t>
  </si>
  <si>
    <t>Sпес. = πх(R^2-r^2), Vпес. = Sпес. х hпес.</t>
  </si>
  <si>
    <t>Песок для строительных работ природный</t>
  </si>
  <si>
    <t xml:space="preserve">	Вода</t>
  </si>
  <si>
    <t>Погрузчики одноковшовые универсальные фронтальные пневмоколесные 3 т</t>
  </si>
  <si>
    <t>Компрессоры передвижные с двигателем внутреннего сгорания давлением до 686 кПа (7 ат), производительность 2,2 м3/мин</t>
  </si>
  <si>
    <t>Трамбовки пневматические при работе от передвижных компрессорных станций</t>
  </si>
  <si>
    <t>Вибротрамбовки бензиновые, мощность до 4 кВт</t>
  </si>
  <si>
    <t>ГЭСН 01-02-014-01</t>
  </si>
  <si>
    <t>ГЭСН 27-04-016-04</t>
  </si>
  <si>
    <t>Бульдозеры при работе на других видах строительства 79 кВт (108 л.с.)</t>
  </si>
  <si>
    <t>Катки на пневмоколесном ходу 16 т</t>
  </si>
  <si>
    <t>Поковки из квадратных заготовок, масса 1,8 кг</t>
  </si>
  <si>
    <t>S = πх(R^2-r^2), V = S х h</t>
  </si>
  <si>
    <t>S = πх(R^2-r^2)</t>
  </si>
  <si>
    <t>ГЭСН 08-01-002-02</t>
  </si>
  <si>
    <t>Щебень</t>
  </si>
  <si>
    <t>Вода</t>
  </si>
  <si>
    <t>Общая масса конструкции по модели</t>
  </si>
  <si>
    <t>Краны на автомобильном ходу при работе на других видах строительства 10 т</t>
  </si>
  <si>
    <t>Автопогрузчики 5 т</t>
  </si>
  <si>
    <t>Компрессоры передвижные с двигателем внутреннего сгорания давлением до 686 кПа(7 ат), производительность 5 м3/мин</t>
  </si>
  <si>
    <t>Экскаваторы одноковшовые дизельные на гусеничном ходу при работе на других видах строительства 0,5 м3</t>
  </si>
  <si>
    <t>Автомобиль-самосвал, грузоподъемность до 10 т</t>
  </si>
  <si>
    <t>ГЭСН 30-08-047-01</t>
  </si>
  <si>
    <t>Раздел 2. Земляные работы</t>
  </si>
  <si>
    <t>Раздел 3. Устройство габионного фундамента коробчатого типа</t>
  </si>
  <si>
    <t>Раздел 4. Монтаж металлоконструкций КОЗ - У - Ш</t>
  </si>
  <si>
    <t>Снятие растительного слоя с перемещением до 10 м бульдозерами мощностью: 96 кВт (130 л.с.), группа грунтов 1*</t>
  </si>
  <si>
    <t>Масса, т</t>
  </si>
  <si>
    <t>%</t>
  </si>
  <si>
    <t>ГЭСН 09-05-003-01</t>
  </si>
  <si>
    <t>Болты с гайками и шайбами строительные</t>
  </si>
  <si>
    <t>Болты</t>
  </si>
  <si>
    <t>Общая масса крепежных элементов</t>
  </si>
  <si>
    <t>Общая масса</t>
  </si>
  <si>
    <t>Устройство основания под фундаменты: песчаного*</t>
  </si>
  <si>
    <t>Уплотнение вибротрамбовкой*</t>
  </si>
  <si>
    <t>Устройство прослойки из негорючего геотекстиля*</t>
  </si>
  <si>
    <t>Устройство основания под фундаменты: щебеночного*</t>
  </si>
  <si>
    <t>Лебедки тракторные тяговым усилием 2,5 т</t>
  </si>
  <si>
    <t>Зажим</t>
  </si>
  <si>
    <t>Шпилька стальная 09ГДС  ⌀16 полная резьба</t>
  </si>
  <si>
    <t>Навеска троса крепления системы сброса</t>
  </si>
  <si>
    <t>Система сброса</t>
  </si>
  <si>
    <t>Механизм быстрого сброса сетки "Манье" в случае пожара</t>
  </si>
  <si>
    <t>ГЭСНм 08-02-303-07</t>
  </si>
  <si>
    <t>Краны на автомобильном ходу при работе на монтаже технологического оборудования 10 т</t>
  </si>
  <si>
    <t>Вышка телескопическая 25 м</t>
  </si>
  <si>
    <t>ГЭСН 27-09-001-06</t>
  </si>
  <si>
    <t>Подъемники гидравлические высотой подъема 20 м</t>
  </si>
  <si>
    <t>Кол-во на 1 КОЗ-У-Ш</t>
  </si>
  <si>
    <t>Кол-во на комплект</t>
  </si>
  <si>
    <t>Количество коз-у в комплекте</t>
  </si>
  <si>
    <t>ГЭСН 33-03-004-01</t>
  </si>
  <si>
    <t>Забивка вертикальных заземлителей механизированная на глубину до 5 м</t>
  </si>
  <si>
    <t>Электроды диаметром 4 мм Э42</t>
  </si>
  <si>
    <t>Кол-во контуров заземления</t>
  </si>
  <si>
    <t xml:space="preserve">	Агрегаты сварочные передвижные с номинальным сварочным током 250-400 А с дизельным двигателем</t>
  </si>
  <si>
    <t>Машины пневматические ПУМ-3</t>
  </si>
  <si>
    <t>Длина луча заземления</t>
  </si>
  <si>
    <t>Агрегаты сварочные передвижные с номинальным сварочным током 250-400 А с дизельным двигателем</t>
  </si>
  <si>
    <t>Установки однобаровые на тракторе 79 кВт(108 л.с.), ширина щели 14 см</t>
  </si>
  <si>
    <t>Спецавтомашины грузоподъемностью до 8 т, вездеходы</t>
  </si>
  <si>
    <t>100 м заземляющих устройств</t>
  </si>
  <si>
    <t>100 точек</t>
  </si>
  <si>
    <t>ГЭСНп 01-11-011-01</t>
  </si>
  <si>
    <t>данные, которые вводим самостоятельно</t>
  </si>
  <si>
    <t>Разработка грунта с погрузкой на автомобили-самосвалы экскаваторами с ковшом вместимостью: 2,5 (1,5-3) м3, группа грунтов 1 *</t>
  </si>
  <si>
    <t>ГЭСН 01-01-012-01</t>
  </si>
  <si>
    <t>Экскаваторы одноковшовые электрические на гусеничном ходу при работе на других видах строительства 2,5 м3</t>
  </si>
  <si>
    <t xml:space="preserve">	Щебень</t>
  </si>
  <si>
    <t>Монтаж сетки "Манье" 45х45 мм</t>
  </si>
  <si>
    <t xml:space="preserve">ТСН-2001.15-1 </t>
  </si>
  <si>
    <t>Вывоз грунта со строительной площадки*</t>
  </si>
  <si>
    <t>* Работы носят рекомендательный характер и зависят от группы грунта, расстояния до площадки утилизации грунта, глубины выемки грунта.</t>
  </si>
  <si>
    <t>ГЭСН 33-03-003-01</t>
  </si>
  <si>
    <t>Устройство заземлителя: протяженного в грунтах 1-4 групп при длине луча до 10 м</t>
  </si>
  <si>
    <t>Раздел 2. Устройство подготовки под конструкцию</t>
  </si>
  <si>
    <t>Укладка резиновых прокладок толщиной: 30 мм</t>
  </si>
  <si>
    <t xml:space="preserve">	100 м2 площади прокладок</t>
  </si>
  <si>
    <t>Прокладки резиновые (пластина техническая прессованная)</t>
  </si>
  <si>
    <t>ГЭСН 07-01-060-01</t>
  </si>
  <si>
    <t>Sпрокладок = n х S</t>
  </si>
  <si>
    <t>Укладка металлических пластин</t>
  </si>
  <si>
    <t>ГЭСН 09-03-001-01</t>
  </si>
  <si>
    <t>Sпластин = n х S</t>
  </si>
  <si>
    <t>1 т конструкций</t>
  </si>
  <si>
    <t>Пластины металлические, толщиной 10 мм, длиной 300 мм, шириной 200 мм</t>
  </si>
  <si>
    <t>Установка стабилизатора гашения ветровой и ударной нагрузки на фундамент</t>
  </si>
  <si>
    <t>Раздел 4. Устройство системы тросов</t>
  </si>
  <si>
    <t>Раздел 5. Устройство конструкций монтажного комплекта СК-1</t>
  </si>
  <si>
    <t>Раздел 6. Монтаж механизма быстрого сброса</t>
  </si>
  <si>
    <t>Раздел 7. Демонтаж лесов</t>
  </si>
  <si>
    <t>Верхнее наружное кольцо</t>
  </si>
  <si>
    <t>Перечень рабочих операций и объемы работ к калькуляции затрат строительных ресурсов</t>
  </si>
  <si>
    <t>Устройство защитной конструкции РВС-1000 КОЗ-У-Ш, 1 шт.</t>
  </si>
  <si>
    <t>Монтаж нижнего опорного кольца и конструкций опоры в составе антисдвига 4-го типа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</si>
</sst>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0.00000"/>
  </numFmts>
  <fonts count="12" x14ac:knownFonts="1">
    <font>
      <sz val="11"/>
      <color theme="1"/>
      <name val="Aptos Narrow"/>
      <family val="2"/>
      <charset val="204"/>
      <scheme val="minor"/>
    </font>
    <font>
      <i/>
      <sz val="11"/>
      <color theme="1"/>
      <name val="ISOCPEUR"/>
      <family val="2"/>
      <charset val="204"/>
    </font>
    <font>
      <sz val="8"/>
      <name val="Aptos Narrow"/>
      <family val="2"/>
      <charset val="204"/>
      <scheme val="minor"/>
    </font>
    <font>
      <sz val="11"/>
      <color theme="1"/>
      <name val="Times New Roman"/>
      <family val="1"/>
      <charset val="204"/>
    </font>
    <font>
      <sz val="12"/>
      <color theme="1"/>
      <name val="Times New Roman"/>
      <family val="1"/>
      <charset val="204"/>
    </font>
    <font>
      <sz val="12"/>
      <color rgb="FF000000"/>
      <name val="Times New Roman"/>
      <family val="1"/>
      <charset val="204"/>
    </font>
    <font>
      <sz val="12"/>
      <name val="Times New Roman"/>
      <family val="1"/>
      <charset val="204"/>
    </font>
    <font>
      <u/>
      <sz val="12"/>
      <name val="Times New Roman"/>
      <family val="1"/>
      <charset val="204"/>
    </font>
    <font>
      <i/>
      <sz val="12"/>
      <color theme="1"/>
      <name val="Times New Roman"/>
      <family val="1"/>
      <charset val="204"/>
    </font>
    <font>
      <b/>
      <sz val="12"/>
      <color theme="1"/>
      <name val="Times New Roman"/>
      <family val="1"/>
      <charset val="204"/>
    </font>
    <font>
      <b/>
      <sz val="14"/>
      <color theme="1"/>
      <name val="Times New Roman"/>
      <family val="1"/>
      <charset val="204"/>
    </font>
    <font>
      <sz val="14"/>
      <color theme="1"/>
      <name val="Times New Roman"/>
      <family val="1"/>
      <charset val="204"/>
    </font>
  </fonts>
  <fills count="3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</fills>
  <borders count="2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auto="1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6">
    <xf numFmtId="0" fontId="0" fillId="0" borderId="0" xfId="0"/>
    <xf numFmtId="0" fontId="4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2" fontId="4" fillId="0" borderId="1" xfId="0" applyNumberFormat="1" applyFont="1" applyBorder="1" applyAlignment="1">
      <alignment horizontal="center" vertical="center"/>
    </xf>
    <xf numFmtId="1" fontId="4" fillId="0" borderId="1" xfId="0" applyNumberFormat="1" applyFont="1" applyBorder="1" applyAlignment="1">
      <alignment horizontal="center" vertical="center"/>
    </xf>
    <xf numFmtId="164" fontId="4" fillId="0" borderId="1" xfId="0" applyNumberFormat="1" applyFont="1" applyBorder="1" applyAlignment="1">
      <alignment horizontal="center" vertical="center"/>
    </xf>
    <xf numFmtId="0" fontId="4" fillId="0" borderId="1" xfId="0" applyFont="1" applyBorder="1"/>
    <xf numFmtId="0" fontId="4" fillId="2" borderId="1" xfId="0" applyFont="1" applyFill="1" applyBorder="1" applyAlignment="1">
      <alignment horizontal="center" vertical="center"/>
    </xf>
    <xf numFmtId="0" fontId="9" fillId="0" borderId="1" xfId="0" applyFont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4" fillId="0" borderId="1" xfId="0" applyFont="1" applyBorder="1" applyAlignment="1">
      <alignment horizontal="center" wrapText="1"/>
    </xf>
    <xf numFmtId="0" fontId="0" fillId="2" borderId="1" xfId="0" applyFill="1" applyBorder="1"/>
    <xf numFmtId="0" fontId="4" fillId="2" borderId="1" xfId="0" applyFont="1" applyFill="1" applyBorder="1" applyAlignment="1">
      <alignment horizontal="center"/>
    </xf>
    <xf numFmtId="0" fontId="9" fillId="0" borderId="1" xfId="0" applyFont="1" applyBorder="1" applyAlignment="1">
      <alignment horizontal="center" vertical="center" wrapText="1"/>
    </xf>
    <xf numFmtId="0" fontId="9" fillId="0" borderId="10" xfId="0" applyFont="1" applyBorder="1" applyAlignment="1">
      <alignment horizontal="center" vertical="center" wrapText="1"/>
    </xf>
    <xf numFmtId="0" fontId="9" fillId="0" borderId="11" xfId="0" applyFont="1" applyBorder="1" applyAlignment="1">
      <alignment horizontal="center" vertical="center" wrapText="1"/>
    </xf>
    <xf numFmtId="0" fontId="4" fillId="0" borderId="11" xfId="0" applyFont="1" applyBorder="1" applyAlignment="1">
      <alignment horizontal="center" vertical="center"/>
    </xf>
    <xf numFmtId="0" fontId="4" fillId="0" borderId="1" xfId="0" applyFont="1" applyBorder="1" applyAlignment="1">
      <alignment horizontal="left" vertical="center"/>
    </xf>
    <xf numFmtId="0" fontId="8" fillId="0" borderId="1" xfId="0" applyFont="1" applyBorder="1" applyAlignment="1">
      <alignment horizontal="left" vertical="center"/>
    </xf>
    <xf numFmtId="0" fontId="4" fillId="0" borderId="1" xfId="0" applyFont="1" applyBorder="1" applyAlignment="1">
      <alignment horizontal="left" vertical="center" wrapText="1"/>
    </xf>
    <xf numFmtId="0" fontId="4" fillId="0" borderId="10" xfId="0" applyFont="1" applyBorder="1" applyAlignment="1">
      <alignment horizontal="center" vertical="center"/>
    </xf>
    <xf numFmtId="0" fontId="5" fillId="0" borderId="0" xfId="0" applyFont="1"/>
    <xf numFmtId="0" fontId="4" fillId="0" borderId="17" xfId="0" applyFont="1" applyBorder="1" applyAlignment="1">
      <alignment horizontal="center" vertical="center"/>
    </xf>
    <xf numFmtId="0" fontId="4" fillId="0" borderId="18" xfId="0" applyFont="1" applyBorder="1" applyAlignment="1">
      <alignment horizontal="left" vertical="center" wrapText="1"/>
    </xf>
    <xf numFmtId="0" fontId="4" fillId="0" borderId="18" xfId="0" applyFont="1" applyBorder="1" applyAlignment="1">
      <alignment horizontal="center" vertical="center"/>
    </xf>
    <xf numFmtId="0" fontId="4" fillId="0" borderId="18" xfId="0" applyFont="1" applyBorder="1" applyAlignment="1">
      <alignment horizontal="center" vertical="center" wrapText="1"/>
    </xf>
    <xf numFmtId="0" fontId="4" fillId="0" borderId="21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 wrapText="1"/>
    </xf>
    <xf numFmtId="164" fontId="4" fillId="0" borderId="0" xfId="0" applyNumberFormat="1" applyFont="1" applyAlignment="1">
      <alignment horizontal="center" vertical="center"/>
    </xf>
    <xf numFmtId="0" fontId="5" fillId="0" borderId="0" xfId="0" applyFont="1" applyAlignment="1">
      <alignment horizontal="left"/>
    </xf>
    <xf numFmtId="0" fontId="6" fillId="0" borderId="0" xfId="0" applyFont="1" applyAlignment="1">
      <alignment vertical="top" wrapText="1"/>
    </xf>
    <xf numFmtId="0" fontId="7" fillId="0" borderId="0" xfId="0" applyFont="1" applyAlignment="1">
      <alignment vertical="top" wrapText="1"/>
    </xf>
    <xf numFmtId="0" fontId="5" fillId="0" borderId="0" xfId="0" applyFont="1" applyAlignment="1">
      <alignment horizontal="center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 wrapText="1"/>
    </xf>
    <xf numFmtId="0" fontId="3" fillId="0" borderId="0" xfId="0" applyFont="1" applyAlignment="1">
      <alignment vertical="top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9" fillId="0" borderId="11" xfId="0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165" fontId="4" fillId="0" borderId="1" xfId="0" applyNumberFormat="1" applyFont="1" applyBorder="1" applyAlignment="1">
      <alignment horizontal="center" vertical="center"/>
    </xf>
    <xf numFmtId="0" fontId="4" fillId="0" borderId="1" xfId="0" applyFont="1" applyBorder="1" applyAlignment="1">
      <alignment horizontal="left" vertical="top" wrapText="1"/>
    </xf>
    <xf numFmtId="0" fontId="0" fillId="0" borderId="1" xfId="0" applyBorder="1" applyAlignment="1">
      <alignment horizontal="center"/>
    </xf>
    <xf numFmtId="0" fontId="10" fillId="0" borderId="26" xfId="0" applyFont="1" applyBorder="1" applyAlignment="1">
      <alignment horizontal="center" wrapText="1"/>
    </xf>
    <xf numFmtId="0" fontId="10" fillId="0" borderId="27" xfId="0" applyFont="1" applyBorder="1" applyAlignment="1">
      <alignment horizontal="center" wrapText="1"/>
    </xf>
    <xf numFmtId="0" fontId="10" fillId="0" borderId="8" xfId="0" applyFont="1" applyBorder="1" applyAlignment="1">
      <alignment horizontal="center" wrapText="1"/>
    </xf>
    <xf numFmtId="0" fontId="11" fillId="0" borderId="17" xfId="0" applyFont="1" applyBorder="1" applyAlignment="1">
      <alignment horizontal="center"/>
    </xf>
    <xf numFmtId="0" fontId="11" fillId="0" borderId="18" xfId="0" applyFont="1" applyBorder="1" applyAlignment="1">
      <alignment horizontal="center"/>
    </xf>
    <xf numFmtId="0" fontId="11" fillId="0" borderId="21" xfId="0" applyFont="1" applyBorder="1" applyAlignment="1">
      <alignment horizontal="center"/>
    </xf>
    <xf numFmtId="0" fontId="9" fillId="0" borderId="12" xfId="0" applyFont="1" applyBorder="1" applyAlignment="1">
      <alignment horizontal="center" vertical="center"/>
    </xf>
    <xf numFmtId="0" fontId="9" fillId="0" borderId="7" xfId="0" applyFont="1" applyBorder="1" applyAlignment="1">
      <alignment horizontal="center" vertical="center"/>
    </xf>
    <xf numFmtId="0" fontId="9" fillId="0" borderId="13" xfId="0" applyFont="1" applyBorder="1" applyAlignment="1">
      <alignment horizontal="center" vertical="center"/>
    </xf>
    <xf numFmtId="0" fontId="9" fillId="0" borderId="22" xfId="0" applyFont="1" applyBorder="1" applyAlignment="1">
      <alignment horizontal="center" vertical="center" wrapText="1"/>
    </xf>
    <xf numFmtId="0" fontId="9" fillId="0" borderId="9" xfId="0" applyFont="1" applyBorder="1" applyAlignment="1">
      <alignment horizontal="center" vertical="center" wrapText="1"/>
    </xf>
    <xf numFmtId="0" fontId="9" fillId="0" borderId="3" xfId="0" applyFont="1" applyBorder="1" applyAlignment="1">
      <alignment horizontal="center" vertical="center" wrapText="1"/>
    </xf>
    <xf numFmtId="0" fontId="9" fillId="0" borderId="2" xfId="0" applyFont="1" applyBorder="1" applyAlignment="1">
      <alignment horizontal="center" vertical="center" wrapText="1"/>
    </xf>
    <xf numFmtId="0" fontId="9" fillId="0" borderId="23" xfId="0" applyFont="1" applyBorder="1" applyAlignment="1">
      <alignment horizontal="center"/>
    </xf>
    <xf numFmtId="0" fontId="9" fillId="0" borderId="24" xfId="0" applyFont="1" applyBorder="1" applyAlignment="1">
      <alignment horizontal="center"/>
    </xf>
    <xf numFmtId="0" fontId="9" fillId="0" borderId="25" xfId="0" applyFont="1" applyBorder="1" applyAlignment="1">
      <alignment horizontal="center"/>
    </xf>
    <xf numFmtId="0" fontId="9" fillId="0" borderId="16" xfId="0" applyFont="1" applyBorder="1" applyAlignment="1">
      <alignment horizontal="center" vertical="center" wrapText="1"/>
    </xf>
    <xf numFmtId="0" fontId="9" fillId="0" borderId="10" xfId="0" applyFont="1" applyBorder="1" applyAlignment="1">
      <alignment horizontal="center" vertical="center" wrapText="1"/>
    </xf>
    <xf numFmtId="0" fontId="4" fillId="0" borderId="6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4" fillId="0" borderId="14" xfId="0" applyFont="1" applyBorder="1" applyAlignment="1">
      <alignment horizontal="center" vertical="center"/>
    </xf>
    <xf numFmtId="0" fontId="4" fillId="0" borderId="15" xfId="0" applyFont="1" applyBorder="1" applyAlignment="1">
      <alignment horizontal="center" vertical="center"/>
    </xf>
    <xf numFmtId="0" fontId="4" fillId="0" borderId="16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10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2" fontId="4" fillId="0" borderId="19" xfId="0" applyNumberFormat="1" applyFont="1" applyBorder="1" applyAlignment="1">
      <alignment horizontal="center" vertical="center"/>
    </xf>
    <xf numFmtId="2" fontId="4" fillId="0" borderId="20" xfId="0" applyNumberFormat="1" applyFont="1" applyBorder="1" applyAlignment="1">
      <alignment horizontal="center" vertical="center"/>
    </xf>
    <xf numFmtId="0" fontId="5" fillId="0" borderId="0" xfId="0" applyFont="1" applyAlignment="1">
      <alignment horizontal="left"/>
    </xf>
    <xf numFmtId="0" fontId="4" fillId="0" borderId="4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164" fontId="4" fillId="0" borderId="4" xfId="0" applyNumberFormat="1" applyFont="1" applyBorder="1" applyAlignment="1">
      <alignment horizontal="center" vertical="center"/>
    </xf>
    <xf numFmtId="164" fontId="4" fillId="0" borderId="5" xfId="0" applyNumberFormat="1" applyFont="1" applyBorder="1" applyAlignment="1">
      <alignment horizontal="center" vertical="center"/>
    </xf>
    <xf numFmtId="2" fontId="4" fillId="0" borderId="4" xfId="0" applyNumberFormat="1" applyFont="1" applyBorder="1" applyAlignment="1">
      <alignment horizontal="center" vertical="center"/>
    </xf>
    <xf numFmtId="2" fontId="4" fillId="0" borderId="5" xfId="0" applyNumberFormat="1" applyFont="1" applyBorder="1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Relationship Id="rId9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C0149E-5743-4CBA-9DCF-CCA37AD3C7CF}">
  <dimension ref="A1:P20"/>
  <sheetViews>
    <sheetView zoomScaleNormal="100" workbookViewId="0">
      <selection activeCell="I8" sqref="I8"/>
    </sheetView>
  </sheetViews>
  <sheetFormatPr defaultRowHeight="14.4" x14ac:dyDescent="0.3"/>
  <cols>
    <col min="1" max="1" width="30.33203125" customWidth="1"/>
    <col min="2" max="2" width="5.88671875" customWidth="1"/>
    <col min="3" max="3" width="6" customWidth="1"/>
    <col min="4" max="4" width="10" customWidth="1"/>
    <col min="5" max="5" width="6.88671875" customWidth="1"/>
    <col min="6" max="6" width="11" customWidth="1"/>
  </cols>
  <sheetData>
    <row r="1" spans="1:16" ht="15.6" x14ac:dyDescent="0.3">
      <c r="A1" s="8" t="s">
        <v>7</v>
      </c>
      <c r="B1" s="8" t="s">
        <v>27</v>
      </c>
      <c r="C1" s="8" t="s">
        <v>26</v>
      </c>
      <c r="D1" s="8" t="s">
        <v>68</v>
      </c>
      <c r="E1" s="8" t="s">
        <v>69</v>
      </c>
      <c r="F1" s="8" t="s">
        <v>123</v>
      </c>
      <c r="G1" s="8" t="s">
        <v>124</v>
      </c>
      <c r="H1" s="8" t="s">
        <v>123</v>
      </c>
      <c r="K1" s="11"/>
      <c r="L1" s="45" t="s">
        <v>161</v>
      </c>
      <c r="M1" s="45"/>
      <c r="N1" s="45"/>
      <c r="O1" s="45"/>
      <c r="P1" s="45"/>
    </row>
    <row r="2" spans="1:16" ht="15.6" x14ac:dyDescent="0.3">
      <c r="A2" s="9" t="s">
        <v>147</v>
      </c>
      <c r="B2" s="8"/>
      <c r="C2" s="8"/>
      <c r="D2" s="12">
        <v>1</v>
      </c>
      <c r="E2" s="8"/>
      <c r="F2" s="8"/>
      <c r="G2" s="8"/>
      <c r="H2" s="8"/>
    </row>
    <row r="3" spans="1:16" ht="15.6" x14ac:dyDescent="0.3">
      <c r="A3" s="1" t="s">
        <v>14</v>
      </c>
      <c r="B3" s="1"/>
      <c r="C3" s="7">
        <v>1.7000000000000001E-2</v>
      </c>
      <c r="D3" s="1"/>
      <c r="E3" s="1"/>
      <c r="F3" s="1"/>
      <c r="G3" s="1"/>
      <c r="H3" s="1"/>
    </row>
    <row r="4" spans="1:16" ht="15.6" x14ac:dyDescent="0.3">
      <c r="A4" s="1" t="s">
        <v>20</v>
      </c>
      <c r="B4" s="7">
        <v>1.4999999999999999E-2</v>
      </c>
      <c r="C4" s="1"/>
      <c r="D4" s="1"/>
      <c r="E4" s="1"/>
      <c r="F4" s="1"/>
      <c r="G4" s="1"/>
      <c r="H4" s="1"/>
    </row>
    <row r="5" spans="1:16" ht="15.6" x14ac:dyDescent="0.3">
      <c r="A5" s="1" t="s">
        <v>188</v>
      </c>
      <c r="B5" s="7">
        <v>1.9E-2</v>
      </c>
      <c r="C5" s="1"/>
      <c r="D5" s="1"/>
      <c r="E5" s="1"/>
      <c r="F5" s="1"/>
      <c r="G5" s="1"/>
      <c r="H5" s="1"/>
    </row>
    <row r="6" spans="1:16" ht="15.6" x14ac:dyDescent="0.3">
      <c r="A6" s="1" t="s">
        <v>21</v>
      </c>
      <c r="B6" s="1">
        <f>B5-1.4</f>
        <v>-1.381</v>
      </c>
      <c r="C6" s="1"/>
      <c r="D6" s="1"/>
      <c r="E6" s="1"/>
      <c r="F6" s="1"/>
      <c r="G6" s="1"/>
      <c r="H6" s="1"/>
    </row>
    <row r="7" spans="1:16" ht="15.6" x14ac:dyDescent="0.3">
      <c r="A7" s="9" t="s">
        <v>61</v>
      </c>
      <c r="B7" s="1"/>
      <c r="C7" s="1"/>
      <c r="D7" s="1"/>
      <c r="E7" s="1"/>
      <c r="F7" s="1"/>
      <c r="G7" s="1"/>
      <c r="H7" s="1"/>
    </row>
    <row r="8" spans="1:16" ht="15.6" x14ac:dyDescent="0.3">
      <c r="A8" s="9" t="s">
        <v>31</v>
      </c>
      <c r="B8" s="1"/>
      <c r="C8" s="1"/>
      <c r="D8" s="1">
        <f>ROUND(((C3-2.5)/1),0)-1</f>
        <v>-3</v>
      </c>
      <c r="E8" s="1"/>
      <c r="F8" s="1"/>
      <c r="G8" s="1"/>
      <c r="H8" s="1"/>
    </row>
    <row r="9" spans="1:16" ht="15.6" x14ac:dyDescent="0.3">
      <c r="A9" s="9" t="s">
        <v>30</v>
      </c>
      <c r="B9" s="1"/>
      <c r="C9" s="1"/>
      <c r="D9" s="1">
        <f>ROUND((B5/0.5),0)*2-15</f>
        <v>-15</v>
      </c>
      <c r="E9" s="1">
        <f>B5+(C3-2.5)*2</f>
        <v>-4.9470000000000001</v>
      </c>
      <c r="F9" s="1"/>
      <c r="G9" s="1"/>
      <c r="H9" s="1"/>
    </row>
    <row r="10" spans="1:16" ht="31.2" x14ac:dyDescent="0.3">
      <c r="A10" s="10" t="s">
        <v>112</v>
      </c>
      <c r="B10" s="1"/>
      <c r="C10" s="1"/>
      <c r="D10" s="1"/>
      <c r="E10" s="1"/>
      <c r="F10" s="7">
        <v>15.2</v>
      </c>
      <c r="G10" s="3"/>
      <c r="H10" s="1"/>
    </row>
    <row r="11" spans="1:16" ht="46.8" x14ac:dyDescent="0.3">
      <c r="A11" s="2" t="s">
        <v>73</v>
      </c>
      <c r="B11" s="1"/>
      <c r="C11" s="1"/>
      <c r="D11" s="1"/>
      <c r="E11" s="1"/>
      <c r="F11" s="1"/>
      <c r="G11" s="3">
        <v>9.07</v>
      </c>
      <c r="H11" s="5">
        <f>F10*0.0907</f>
        <v>1.3786400000000001</v>
      </c>
    </row>
    <row r="12" spans="1:16" ht="31.2" x14ac:dyDescent="0.3">
      <c r="A12" s="2" t="s">
        <v>64</v>
      </c>
      <c r="B12" s="1"/>
      <c r="C12" s="1"/>
      <c r="D12" s="1"/>
      <c r="E12" s="1"/>
      <c r="F12" s="1"/>
      <c r="G12" s="3">
        <v>60.82</v>
      </c>
      <c r="H12" s="5">
        <f>F10*0.6082</f>
        <v>9.2446399999999986</v>
      </c>
    </row>
    <row r="13" spans="1:16" ht="31.2" x14ac:dyDescent="0.3">
      <c r="A13" s="2" t="s">
        <v>63</v>
      </c>
      <c r="B13" s="1"/>
      <c r="C13" s="1"/>
      <c r="D13" s="1"/>
      <c r="E13" s="1"/>
      <c r="F13" s="1"/>
      <c r="G13" s="3">
        <v>12.07</v>
      </c>
      <c r="H13" s="5">
        <f>F10*0.1207</f>
        <v>1.83464</v>
      </c>
    </row>
    <row r="14" spans="1:16" ht="46.8" x14ac:dyDescent="0.3">
      <c r="A14" s="2" t="s">
        <v>65</v>
      </c>
      <c r="B14" s="1"/>
      <c r="C14" s="1"/>
      <c r="D14" s="1"/>
      <c r="E14" s="1"/>
      <c r="F14" s="1"/>
      <c r="G14" s="3">
        <v>14.87</v>
      </c>
      <c r="H14" s="5">
        <f>F10*0.1487</f>
        <v>2.26024</v>
      </c>
    </row>
    <row r="15" spans="1:16" ht="31.2" x14ac:dyDescent="0.3">
      <c r="A15" s="2" t="s">
        <v>66</v>
      </c>
      <c r="B15" s="1"/>
      <c r="C15" s="1"/>
      <c r="D15" s="1"/>
      <c r="E15" s="1"/>
      <c r="F15" s="1"/>
      <c r="G15" s="3">
        <v>3.17</v>
      </c>
      <c r="H15" s="5">
        <f>F10*0.0317</f>
        <v>0.48183999999999994</v>
      </c>
    </row>
    <row r="16" spans="1:16" ht="15.6" x14ac:dyDescent="0.3">
      <c r="A16" s="2" t="s">
        <v>127</v>
      </c>
      <c r="B16" s="1"/>
      <c r="C16" s="1"/>
      <c r="D16" s="4">
        <f>12796.03*H16</f>
        <v>13673.325816799999</v>
      </c>
      <c r="E16" s="1"/>
      <c r="F16" s="3"/>
      <c r="G16" s="3">
        <v>7.03</v>
      </c>
      <c r="H16" s="5">
        <f>F10*0.0703</f>
        <v>1.06856</v>
      </c>
    </row>
    <row r="17" spans="1:8" ht="15.6" x14ac:dyDescent="0.3">
      <c r="A17" s="2" t="s">
        <v>135</v>
      </c>
      <c r="B17" s="6"/>
      <c r="C17" s="6"/>
      <c r="D17" s="9">
        <f>D9*2</f>
        <v>-30</v>
      </c>
      <c r="E17" s="6"/>
      <c r="F17" s="6"/>
      <c r="G17" s="6"/>
      <c r="H17" s="6"/>
    </row>
    <row r="18" spans="1:8" ht="15.6" x14ac:dyDescent="0.3">
      <c r="A18" s="2" t="s">
        <v>138</v>
      </c>
      <c r="B18" s="6"/>
      <c r="C18" s="6"/>
      <c r="D18" s="9">
        <f>ROUND(((B5*3.14)/2),0)</f>
        <v>0</v>
      </c>
      <c r="E18" s="6"/>
      <c r="F18" s="6"/>
      <c r="G18" s="6"/>
      <c r="H18" s="6"/>
    </row>
    <row r="19" spans="1:8" ht="15.6" x14ac:dyDescent="0.3">
      <c r="A19" s="2" t="s">
        <v>151</v>
      </c>
      <c r="B19" s="6"/>
      <c r="C19" s="6"/>
      <c r="D19" s="9">
        <v>1</v>
      </c>
      <c r="E19" s="6"/>
      <c r="F19" s="6"/>
      <c r="G19" s="6"/>
      <c r="H19" s="6"/>
    </row>
    <row r="20" spans="1:8" ht="15.6" x14ac:dyDescent="0.3">
      <c r="A20" s="2" t="s">
        <v>154</v>
      </c>
      <c r="B20" s="6"/>
      <c r="C20" s="6"/>
      <c r="D20" s="6"/>
      <c r="E20" s="9">
        <v>50</v>
      </c>
      <c r="F20" s="6"/>
      <c r="G20" s="6"/>
      <c r="H20" s="6"/>
    </row>
  </sheetData>
  <mergeCells count="1">
    <mergeCell ref="L1:P1"/>
  </mergeCells>
  <phoneticPr fontId="2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21ECDC-5C75-4F74-BFD8-F5A008843F9F}">
  <sheetPr>
    <pageSetUpPr fitToPage="1"/>
  </sheetPr>
  <dimension ref="A1:G414"/>
  <sheetViews>
    <sheetView tabSelected="1" topLeftCell="A8" zoomScale="75" zoomScaleNormal="75" workbookViewId="0">
      <selection activeCell="B34" sqref="B34"/>
    </sheetView>
  </sheetViews>
  <sheetFormatPr defaultRowHeight="14.4" x14ac:dyDescent="0.3"/>
  <cols>
    <col min="1" max="1" width="5.33203125" customWidth="1"/>
    <col min="2" max="2" width="57.109375" customWidth="1"/>
    <col min="3" max="3" width="17.33203125" customWidth="1"/>
    <col min="4" max="4" width="14.44140625" customWidth="1"/>
    <col min="5" max="5" width="15.6640625" bestFit="1" customWidth="1"/>
    <col min="6" max="6" width="36" customWidth="1"/>
    <col min="7" max="7" width="40.44140625" customWidth="1"/>
  </cols>
  <sheetData>
    <row r="1" spans="1:7" ht="19.5" customHeight="1" x14ac:dyDescent="0.3">
      <c r="A1" s="46" t="s">
        <v>189</v>
      </c>
      <c r="B1" s="47"/>
      <c r="C1" s="47"/>
      <c r="D1" s="47"/>
      <c r="E1" s="47"/>
      <c r="F1" s="47"/>
      <c r="G1" s="48"/>
    </row>
    <row r="2" spans="1:7" ht="19.5" customHeight="1" thickBot="1" x14ac:dyDescent="0.4">
      <c r="A2" s="49" t="s">
        <v>190</v>
      </c>
      <c r="B2" s="50"/>
      <c r="C2" s="50"/>
      <c r="D2" s="50"/>
      <c r="E2" s="50"/>
      <c r="F2" s="50"/>
      <c r="G2" s="51"/>
    </row>
    <row r="3" spans="1:7" ht="15.6" x14ac:dyDescent="0.3">
      <c r="A3" s="55" t="s">
        <v>0</v>
      </c>
      <c r="B3" s="57" t="s">
        <v>84</v>
      </c>
      <c r="C3" s="57" t="s">
        <v>2</v>
      </c>
      <c r="D3" s="59" t="s">
        <v>86</v>
      </c>
      <c r="E3" s="60"/>
      <c r="F3" s="61"/>
      <c r="G3" s="62" t="s">
        <v>83</v>
      </c>
    </row>
    <row r="4" spans="1:7" ht="31.5" customHeight="1" x14ac:dyDescent="0.3">
      <c r="A4" s="56"/>
      <c r="B4" s="58"/>
      <c r="C4" s="58"/>
      <c r="D4" s="13" t="s">
        <v>145</v>
      </c>
      <c r="E4" s="13" t="s">
        <v>146</v>
      </c>
      <c r="F4" s="13" t="s">
        <v>85</v>
      </c>
      <c r="G4" s="63"/>
    </row>
    <row r="5" spans="1:7" ht="15.6" x14ac:dyDescent="0.3">
      <c r="A5" s="15">
        <v>1</v>
      </c>
      <c r="B5" s="13">
        <v>2</v>
      </c>
      <c r="C5" s="13">
        <v>3</v>
      </c>
      <c r="D5" s="13">
        <v>4</v>
      </c>
      <c r="E5" s="13">
        <v>5</v>
      </c>
      <c r="F5" s="13">
        <v>6</v>
      </c>
      <c r="G5" s="14">
        <v>7</v>
      </c>
    </row>
    <row r="6" spans="1:7" ht="15.6" x14ac:dyDescent="0.3">
      <c r="A6" s="52" t="s">
        <v>1</v>
      </c>
      <c r="B6" s="53"/>
      <c r="C6" s="53"/>
      <c r="D6" s="53"/>
      <c r="E6" s="53"/>
      <c r="F6" s="53"/>
      <c r="G6" s="54"/>
    </row>
    <row r="7" spans="1:7" ht="47.25" customHeight="1" x14ac:dyDescent="0.3">
      <c r="A7" s="16">
        <v>1</v>
      </c>
      <c r="B7" s="17" t="s">
        <v>5</v>
      </c>
      <c r="C7" s="2" t="s">
        <v>6</v>
      </c>
      <c r="D7" s="3">
        <f>(3.14*('Исходные данные'!B4/2+'Исходные данные'!B5/2)*'Исходные данные'!C3)*1.5/100</f>
        <v>1.3611900000000003E-5</v>
      </c>
      <c r="E7" s="3">
        <f>D7*'Исходные данные'!D2</f>
        <v>1.3611900000000003E-5</v>
      </c>
      <c r="F7" s="64" t="s">
        <v>33</v>
      </c>
      <c r="G7" s="67" t="s">
        <v>89</v>
      </c>
    </row>
    <row r="8" spans="1:7" ht="15.6" x14ac:dyDescent="0.3">
      <c r="A8" s="16"/>
      <c r="B8" s="18" t="s">
        <v>87</v>
      </c>
      <c r="C8" s="2"/>
      <c r="D8" s="3"/>
      <c r="E8" s="3"/>
      <c r="F8" s="65"/>
      <c r="G8" s="68"/>
    </row>
    <row r="9" spans="1:7" ht="31.2" x14ac:dyDescent="0.3">
      <c r="A9" s="16"/>
      <c r="B9" s="19" t="s">
        <v>10</v>
      </c>
      <c r="C9" s="2" t="s">
        <v>9</v>
      </c>
      <c r="D9" s="3">
        <f>0.009*D7</f>
        <v>1.2250710000000002E-7</v>
      </c>
      <c r="E9" s="3">
        <f>D9*'Исходные данные'!D2</f>
        <v>1.2250710000000002E-7</v>
      </c>
      <c r="F9" s="65"/>
      <c r="G9" s="68"/>
    </row>
    <row r="10" spans="1:7" ht="31.2" x14ac:dyDescent="0.3">
      <c r="A10" s="16"/>
      <c r="B10" s="19" t="s">
        <v>11</v>
      </c>
      <c r="C10" s="2" t="s">
        <v>3</v>
      </c>
      <c r="D10" s="3">
        <f>0.035*D7</f>
        <v>4.7641650000000014E-7</v>
      </c>
      <c r="E10" s="3">
        <f>D10*'Исходные данные'!D2</f>
        <v>4.7641650000000014E-7</v>
      </c>
      <c r="F10" s="65"/>
      <c r="G10" s="68"/>
    </row>
    <row r="11" spans="1:7" ht="15.6" x14ac:dyDescent="0.3">
      <c r="A11" s="16"/>
      <c r="B11" s="17" t="s">
        <v>8</v>
      </c>
      <c r="C11" s="2" t="s">
        <v>4</v>
      </c>
      <c r="D11" s="3">
        <f>3.4*D7</f>
        <v>4.6280460000000009E-5</v>
      </c>
      <c r="E11" s="3">
        <f>D11*'Исходные данные'!D2</f>
        <v>4.6280460000000009E-5</v>
      </c>
      <c r="F11" s="65"/>
      <c r="G11" s="68"/>
    </row>
    <row r="12" spans="1:7" ht="15.6" x14ac:dyDescent="0.3">
      <c r="A12" s="16"/>
      <c r="B12" s="18" t="s">
        <v>88</v>
      </c>
      <c r="C12" s="2"/>
      <c r="D12" s="3"/>
      <c r="E12" s="3"/>
      <c r="F12" s="65"/>
      <c r="G12" s="68"/>
    </row>
    <row r="13" spans="1:7" ht="15.6" x14ac:dyDescent="0.3">
      <c r="A13" s="16"/>
      <c r="B13" s="17" t="s">
        <v>90</v>
      </c>
      <c r="C13" s="2"/>
      <c r="D13" s="3"/>
      <c r="E13" s="3"/>
      <c r="F13" s="66"/>
      <c r="G13" s="69"/>
    </row>
    <row r="14" spans="1:7" ht="15.6" x14ac:dyDescent="0.3">
      <c r="A14" s="52" t="s">
        <v>172</v>
      </c>
      <c r="B14" s="53"/>
      <c r="C14" s="53"/>
      <c r="D14" s="53"/>
      <c r="E14" s="53"/>
      <c r="F14" s="53"/>
      <c r="G14" s="54"/>
    </row>
    <row r="15" spans="1:7" ht="31.2" x14ac:dyDescent="0.3">
      <c r="A15" s="16">
        <v>1</v>
      </c>
      <c r="B15" s="17" t="s">
        <v>173</v>
      </c>
      <c r="C15" s="2" t="s">
        <v>174</v>
      </c>
      <c r="D15" s="1">
        <f>1.2/100</f>
        <v>1.2E-2</v>
      </c>
      <c r="E15" s="1">
        <f>D15*'Исходные данные'!D2</f>
        <v>1.2E-2</v>
      </c>
      <c r="F15" s="71" t="s">
        <v>177</v>
      </c>
      <c r="G15" s="72" t="s">
        <v>176</v>
      </c>
    </row>
    <row r="16" spans="1:7" ht="15.6" x14ac:dyDescent="0.3">
      <c r="A16" s="16"/>
      <c r="B16" s="18" t="s">
        <v>87</v>
      </c>
      <c r="C16" s="1"/>
      <c r="D16" s="1"/>
      <c r="E16" s="1"/>
      <c r="F16" s="71"/>
      <c r="G16" s="72"/>
    </row>
    <row r="17" spans="1:7" ht="31.2" x14ac:dyDescent="0.3">
      <c r="A17" s="16"/>
      <c r="B17" s="19" t="s">
        <v>175</v>
      </c>
      <c r="C17" s="1" t="s">
        <v>76</v>
      </c>
      <c r="D17" s="1">
        <v>20</v>
      </c>
      <c r="E17" s="1">
        <f>D17*'Исходные данные'!D2</f>
        <v>20</v>
      </c>
      <c r="F17" s="71"/>
      <c r="G17" s="72"/>
    </row>
    <row r="18" spans="1:7" ht="15.6" x14ac:dyDescent="0.3">
      <c r="A18" s="16"/>
      <c r="B18" s="18" t="s">
        <v>88</v>
      </c>
      <c r="C18" s="1"/>
      <c r="D18" s="1"/>
      <c r="E18" s="1"/>
      <c r="F18" s="71"/>
      <c r="G18" s="72"/>
    </row>
    <row r="19" spans="1:7" ht="15.6" x14ac:dyDescent="0.3">
      <c r="A19" s="16"/>
      <c r="B19" s="19" t="s">
        <v>90</v>
      </c>
      <c r="C19" s="1"/>
      <c r="D19" s="1"/>
      <c r="E19" s="1"/>
      <c r="F19" s="71"/>
      <c r="G19" s="72"/>
    </row>
    <row r="20" spans="1:7" ht="15.6" x14ac:dyDescent="0.3">
      <c r="A20" s="16">
        <v>2</v>
      </c>
      <c r="B20" s="17" t="s">
        <v>178</v>
      </c>
      <c r="C20" s="1" t="s">
        <v>181</v>
      </c>
      <c r="D20" s="3">
        <f>9.42/1000</f>
        <v>9.4199999999999996E-3</v>
      </c>
      <c r="E20" s="3">
        <f>D20*'Исходные данные'!D2</f>
        <v>9.4199999999999996E-3</v>
      </c>
      <c r="F20" s="71" t="s">
        <v>180</v>
      </c>
      <c r="G20" s="72" t="s">
        <v>179</v>
      </c>
    </row>
    <row r="21" spans="1:7" ht="15.6" x14ac:dyDescent="0.3">
      <c r="A21" s="16"/>
      <c r="B21" s="18" t="s">
        <v>87</v>
      </c>
      <c r="C21" s="1"/>
      <c r="D21" s="1"/>
      <c r="E21" s="1"/>
      <c r="F21" s="71"/>
      <c r="G21" s="72"/>
    </row>
    <row r="22" spans="1:7" ht="31.2" x14ac:dyDescent="0.3">
      <c r="A22" s="16"/>
      <c r="B22" s="19" t="s">
        <v>182</v>
      </c>
      <c r="C22" s="1" t="s">
        <v>76</v>
      </c>
      <c r="D22" s="1">
        <v>20</v>
      </c>
      <c r="E22" s="1">
        <f>D22*'Исходные данные'!D2</f>
        <v>20</v>
      </c>
      <c r="F22" s="71"/>
      <c r="G22" s="72"/>
    </row>
    <row r="23" spans="1:7" ht="15.6" x14ac:dyDescent="0.3">
      <c r="A23" s="16"/>
      <c r="B23" s="18" t="s">
        <v>88</v>
      </c>
      <c r="C23" s="1"/>
      <c r="D23" s="1"/>
      <c r="E23" s="1"/>
      <c r="F23" s="71"/>
      <c r="G23" s="72"/>
    </row>
    <row r="24" spans="1:7" ht="15.6" x14ac:dyDescent="0.3">
      <c r="A24" s="16"/>
      <c r="B24" s="17" t="s">
        <v>90</v>
      </c>
      <c r="C24" s="1"/>
      <c r="D24" s="1"/>
      <c r="E24" s="1"/>
      <c r="F24" s="71"/>
      <c r="G24" s="72"/>
    </row>
    <row r="25" spans="1:7" ht="46.8" x14ac:dyDescent="0.3">
      <c r="A25" s="16">
        <v>3</v>
      </c>
      <c r="B25" s="19" t="s">
        <v>183</v>
      </c>
      <c r="C25" s="2" t="s">
        <v>15</v>
      </c>
      <c r="D25" s="3">
        <f>1.8*7.85/1000</f>
        <v>1.4129999999999998E-2</v>
      </c>
      <c r="E25" s="3">
        <f>D25*'Исходные данные'!$D$2</f>
        <v>1.4129999999999998E-2</v>
      </c>
      <c r="F25" s="73"/>
      <c r="G25" s="67"/>
    </row>
    <row r="26" spans="1:7" ht="15.6" x14ac:dyDescent="0.3">
      <c r="A26" s="16"/>
      <c r="B26" s="18" t="s">
        <v>87</v>
      </c>
      <c r="C26" s="1"/>
      <c r="D26" s="1"/>
      <c r="E26" s="1"/>
      <c r="F26" s="74"/>
      <c r="G26" s="68"/>
    </row>
    <row r="27" spans="1:7" ht="15.6" x14ac:dyDescent="0.3">
      <c r="A27" s="16"/>
      <c r="B27" s="19" t="s">
        <v>16</v>
      </c>
      <c r="C27" s="2" t="s">
        <v>17</v>
      </c>
      <c r="D27" s="3">
        <f>D25</f>
        <v>1.4129999999999998E-2</v>
      </c>
      <c r="E27" s="3">
        <f>E25</f>
        <v>1.4129999999999998E-2</v>
      </c>
      <c r="F27" s="74"/>
      <c r="G27" s="68"/>
    </row>
    <row r="28" spans="1:7" ht="15.6" x14ac:dyDescent="0.3">
      <c r="A28" s="16"/>
      <c r="B28" s="18" t="s">
        <v>88</v>
      </c>
      <c r="C28" s="1"/>
      <c r="D28" s="1"/>
      <c r="E28" s="1"/>
      <c r="F28" s="74"/>
      <c r="G28" s="68"/>
    </row>
    <row r="29" spans="1:7" ht="31.2" x14ac:dyDescent="0.3">
      <c r="A29" s="16"/>
      <c r="B29" s="19" t="s">
        <v>113</v>
      </c>
      <c r="C29" s="1"/>
      <c r="D29" s="1"/>
      <c r="E29" s="1"/>
      <c r="F29" s="74"/>
      <c r="G29" s="68"/>
    </row>
    <row r="30" spans="1:7" ht="15.6" x14ac:dyDescent="0.3">
      <c r="A30" s="16"/>
      <c r="B30" s="21" t="s">
        <v>144</v>
      </c>
      <c r="C30" s="1"/>
      <c r="D30" s="1"/>
      <c r="E30" s="1"/>
      <c r="F30" s="74"/>
      <c r="G30" s="68"/>
    </row>
    <row r="31" spans="1:7" ht="15.6" x14ac:dyDescent="0.3">
      <c r="A31" s="16"/>
      <c r="B31" s="17" t="s">
        <v>90</v>
      </c>
      <c r="C31" s="1"/>
      <c r="D31" s="1"/>
      <c r="E31" s="1"/>
      <c r="F31" s="74"/>
      <c r="G31" s="68"/>
    </row>
    <row r="32" spans="1:7" ht="15.6" x14ac:dyDescent="0.3">
      <c r="A32" s="16"/>
      <c r="B32" s="17" t="s">
        <v>134</v>
      </c>
      <c r="C32" s="1"/>
      <c r="D32" s="1"/>
      <c r="E32" s="1"/>
      <c r="F32" s="75"/>
      <c r="G32" s="69"/>
    </row>
    <row r="33" spans="1:7" ht="15.6" x14ac:dyDescent="0.3">
      <c r="A33" s="52" t="s">
        <v>62</v>
      </c>
      <c r="B33" s="53"/>
      <c r="C33" s="53"/>
      <c r="D33" s="53"/>
      <c r="E33" s="53"/>
      <c r="F33" s="53"/>
      <c r="G33" s="54"/>
    </row>
    <row r="34" spans="1:7" ht="43.5" customHeight="1" x14ac:dyDescent="0.3">
      <c r="A34" s="16">
        <v>1</v>
      </c>
      <c r="B34" s="19" t="s">
        <v>191</v>
      </c>
      <c r="C34" s="2" t="s">
        <v>15</v>
      </c>
      <c r="D34" s="3">
        <f>'Исходные данные'!H11</f>
        <v>1.3786400000000001</v>
      </c>
      <c r="E34" s="3">
        <f>D34*'Исходные данные'!$D$2</f>
        <v>1.3786400000000001</v>
      </c>
      <c r="F34" s="64" t="s">
        <v>19</v>
      </c>
      <c r="G34" s="67"/>
    </row>
    <row r="35" spans="1:7" ht="19.5" customHeight="1" x14ac:dyDescent="0.3">
      <c r="A35" s="16"/>
      <c r="B35" s="18" t="s">
        <v>87</v>
      </c>
      <c r="C35" s="2"/>
      <c r="D35" s="3"/>
      <c r="E35" s="3"/>
      <c r="F35" s="65"/>
      <c r="G35" s="68"/>
    </row>
    <row r="36" spans="1:7" ht="15.6" x14ac:dyDescent="0.3">
      <c r="A36" s="16"/>
      <c r="B36" s="19" t="s">
        <v>16</v>
      </c>
      <c r="C36" s="2" t="s">
        <v>17</v>
      </c>
      <c r="D36" s="3">
        <f>D34</f>
        <v>1.3786400000000001</v>
      </c>
      <c r="E36" s="3">
        <f>D36*'Исходные данные'!$D$2</f>
        <v>1.3786400000000001</v>
      </c>
      <c r="F36" s="65"/>
      <c r="G36" s="68"/>
    </row>
    <row r="37" spans="1:7" ht="15.6" x14ac:dyDescent="0.3">
      <c r="A37" s="16"/>
      <c r="B37" s="18" t="s">
        <v>88</v>
      </c>
      <c r="C37" s="2"/>
      <c r="D37" s="3"/>
      <c r="E37" s="3"/>
      <c r="F37" s="65"/>
      <c r="G37" s="68"/>
    </row>
    <row r="38" spans="1:7" ht="31.2" x14ac:dyDescent="0.3">
      <c r="A38" s="16"/>
      <c r="B38" s="19" t="s">
        <v>113</v>
      </c>
      <c r="C38" s="2"/>
      <c r="D38" s="3"/>
      <c r="E38" s="3"/>
      <c r="F38" s="65"/>
      <c r="G38" s="68"/>
    </row>
    <row r="39" spans="1:7" ht="15.6" x14ac:dyDescent="0.3">
      <c r="A39" s="16"/>
      <c r="B39" s="21" t="s">
        <v>144</v>
      </c>
      <c r="C39" s="2"/>
      <c r="D39" s="3"/>
      <c r="E39" s="3"/>
      <c r="F39" s="65"/>
      <c r="G39" s="68"/>
    </row>
    <row r="40" spans="1:7" ht="15.6" x14ac:dyDescent="0.3">
      <c r="A40" s="16"/>
      <c r="B40" s="17" t="s">
        <v>90</v>
      </c>
      <c r="C40" s="2"/>
      <c r="D40" s="3"/>
      <c r="E40" s="3"/>
      <c r="F40" s="65"/>
      <c r="G40" s="68"/>
    </row>
    <row r="41" spans="1:7" ht="15.6" x14ac:dyDescent="0.3">
      <c r="A41" s="16"/>
      <c r="B41" s="17" t="s">
        <v>134</v>
      </c>
      <c r="C41" s="2"/>
      <c r="D41" s="3"/>
      <c r="E41" s="3"/>
      <c r="F41" s="65"/>
      <c r="G41" s="68"/>
    </row>
    <row r="42" spans="1:7" ht="45.75" customHeight="1" x14ac:dyDescent="0.3">
      <c r="A42" s="16">
        <v>2</v>
      </c>
      <c r="B42" s="19" t="s">
        <v>64</v>
      </c>
      <c r="C42" s="2" t="s">
        <v>15</v>
      </c>
      <c r="D42" s="3">
        <f>'Исходные данные'!H12</f>
        <v>9.2446399999999986</v>
      </c>
      <c r="E42" s="3">
        <f>D42*'Исходные данные'!$D$2</f>
        <v>9.2446399999999986</v>
      </c>
      <c r="F42" s="65"/>
      <c r="G42" s="68"/>
    </row>
    <row r="43" spans="1:7" ht="21" customHeight="1" x14ac:dyDescent="0.3">
      <c r="A43" s="16"/>
      <c r="B43" s="18" t="s">
        <v>87</v>
      </c>
      <c r="C43" s="2"/>
      <c r="D43" s="3"/>
      <c r="E43" s="3"/>
      <c r="F43" s="65"/>
      <c r="G43" s="68"/>
    </row>
    <row r="44" spans="1:7" ht="15.6" x14ac:dyDescent="0.3">
      <c r="A44" s="16"/>
      <c r="B44" s="19" t="s">
        <v>16</v>
      </c>
      <c r="C44" s="2" t="s">
        <v>17</v>
      </c>
      <c r="D44" s="3">
        <f>D42</f>
        <v>9.2446399999999986</v>
      </c>
      <c r="E44" s="3">
        <f>D44*'Исходные данные'!$D$2</f>
        <v>9.2446399999999986</v>
      </c>
      <c r="F44" s="65"/>
      <c r="G44" s="68"/>
    </row>
    <row r="45" spans="1:7" ht="15.6" x14ac:dyDescent="0.3">
      <c r="A45" s="16"/>
      <c r="B45" s="18" t="s">
        <v>88</v>
      </c>
      <c r="C45" s="2"/>
      <c r="D45" s="3"/>
      <c r="E45" s="3"/>
      <c r="F45" s="65"/>
      <c r="G45" s="68"/>
    </row>
    <row r="46" spans="1:7" ht="31.2" x14ac:dyDescent="0.3">
      <c r="A46" s="16"/>
      <c r="B46" s="19" t="s">
        <v>113</v>
      </c>
      <c r="C46" s="2"/>
      <c r="D46" s="3"/>
      <c r="E46" s="3"/>
      <c r="F46" s="65"/>
      <c r="G46" s="68"/>
    </row>
    <row r="47" spans="1:7" ht="15.6" x14ac:dyDescent="0.3">
      <c r="A47" s="16"/>
      <c r="B47" s="19" t="s">
        <v>144</v>
      </c>
      <c r="C47" s="2"/>
      <c r="D47" s="3"/>
      <c r="E47" s="3"/>
      <c r="F47" s="65"/>
      <c r="G47" s="68"/>
    </row>
    <row r="48" spans="1:7" ht="15.6" x14ac:dyDescent="0.3">
      <c r="A48" s="16"/>
      <c r="B48" s="17" t="s">
        <v>90</v>
      </c>
      <c r="C48" s="2"/>
      <c r="D48" s="3"/>
      <c r="E48" s="3"/>
      <c r="F48" s="65"/>
      <c r="G48" s="68"/>
    </row>
    <row r="49" spans="1:7" ht="15.6" x14ac:dyDescent="0.3">
      <c r="A49" s="16"/>
      <c r="B49" s="17" t="s">
        <v>134</v>
      </c>
      <c r="C49" s="2"/>
      <c r="D49" s="3"/>
      <c r="E49" s="3"/>
      <c r="F49" s="65"/>
      <c r="G49" s="68"/>
    </row>
    <row r="50" spans="1:7" ht="46.8" x14ac:dyDescent="0.3">
      <c r="A50" s="16">
        <v>3</v>
      </c>
      <c r="B50" s="19" t="s">
        <v>63</v>
      </c>
      <c r="C50" s="2" t="s">
        <v>15</v>
      </c>
      <c r="D50" s="3">
        <f>'Исходные данные'!H13</f>
        <v>1.83464</v>
      </c>
      <c r="E50" s="3">
        <f>D50*'Исходные данные'!$D$2</f>
        <v>1.83464</v>
      </c>
      <c r="F50" s="65"/>
      <c r="G50" s="68"/>
    </row>
    <row r="51" spans="1:7" ht="15.6" x14ac:dyDescent="0.3">
      <c r="A51" s="16"/>
      <c r="B51" s="18" t="s">
        <v>87</v>
      </c>
      <c r="C51" s="2"/>
      <c r="D51" s="3"/>
      <c r="E51" s="3"/>
      <c r="F51" s="65"/>
      <c r="G51" s="68"/>
    </row>
    <row r="52" spans="1:7" ht="15.6" x14ac:dyDescent="0.3">
      <c r="A52" s="16"/>
      <c r="B52" s="19" t="s">
        <v>16</v>
      </c>
      <c r="C52" s="2" t="s">
        <v>17</v>
      </c>
      <c r="D52" s="3">
        <f>D50</f>
        <v>1.83464</v>
      </c>
      <c r="E52" s="3">
        <f>D52*'Исходные данные'!$D$2</f>
        <v>1.83464</v>
      </c>
      <c r="F52" s="65"/>
      <c r="G52" s="68"/>
    </row>
    <row r="53" spans="1:7" ht="15.6" x14ac:dyDescent="0.3">
      <c r="A53" s="16"/>
      <c r="B53" s="18" t="s">
        <v>88</v>
      </c>
      <c r="C53" s="2"/>
      <c r="D53" s="3"/>
      <c r="E53" s="3"/>
      <c r="F53" s="65"/>
      <c r="G53" s="68"/>
    </row>
    <row r="54" spans="1:7" ht="31.2" x14ac:dyDescent="0.3">
      <c r="A54" s="16"/>
      <c r="B54" s="19" t="s">
        <v>113</v>
      </c>
      <c r="C54" s="2"/>
      <c r="D54" s="3"/>
      <c r="E54" s="3"/>
      <c r="F54" s="65"/>
      <c r="G54" s="68"/>
    </row>
    <row r="55" spans="1:7" ht="15.6" x14ac:dyDescent="0.3">
      <c r="A55" s="16"/>
      <c r="B55" s="19" t="s">
        <v>144</v>
      </c>
      <c r="C55" s="2"/>
      <c r="D55" s="3"/>
      <c r="E55" s="3"/>
      <c r="F55" s="65"/>
      <c r="G55" s="68"/>
    </row>
    <row r="56" spans="1:7" ht="15.6" x14ac:dyDescent="0.3">
      <c r="A56" s="16"/>
      <c r="B56" s="17" t="s">
        <v>90</v>
      </c>
      <c r="C56" s="2"/>
      <c r="D56" s="3"/>
      <c r="E56" s="3"/>
      <c r="F56" s="65"/>
      <c r="G56" s="68"/>
    </row>
    <row r="57" spans="1:7" ht="15.6" x14ac:dyDescent="0.3">
      <c r="A57" s="16"/>
      <c r="B57" s="17" t="s">
        <v>134</v>
      </c>
      <c r="C57" s="2"/>
      <c r="D57" s="3"/>
      <c r="E57" s="3"/>
      <c r="F57" s="65"/>
      <c r="G57" s="68"/>
    </row>
    <row r="58" spans="1:7" ht="54.75" customHeight="1" x14ac:dyDescent="0.3">
      <c r="A58" s="16">
        <v>4</v>
      </c>
      <c r="B58" s="19" t="s">
        <v>65</v>
      </c>
      <c r="C58" s="2" t="s">
        <v>15</v>
      </c>
      <c r="D58" s="3">
        <f>'Исходные данные'!H14</f>
        <v>2.26024</v>
      </c>
      <c r="E58" s="3">
        <f>D58*'Исходные данные'!$D$2</f>
        <v>2.26024</v>
      </c>
      <c r="F58" s="65"/>
      <c r="G58" s="68"/>
    </row>
    <row r="59" spans="1:7" ht="15" customHeight="1" x14ac:dyDescent="0.3">
      <c r="A59" s="16"/>
      <c r="B59" s="18" t="s">
        <v>87</v>
      </c>
      <c r="C59" s="2"/>
      <c r="D59" s="3"/>
      <c r="E59" s="3"/>
      <c r="F59" s="65"/>
      <c r="G59" s="68"/>
    </row>
    <row r="60" spans="1:7" ht="15.6" x14ac:dyDescent="0.3">
      <c r="A60" s="16"/>
      <c r="B60" s="19" t="s">
        <v>16</v>
      </c>
      <c r="C60" s="2" t="s">
        <v>17</v>
      </c>
      <c r="D60" s="3">
        <f>D58</f>
        <v>2.26024</v>
      </c>
      <c r="E60" s="3">
        <f>D60*'Исходные данные'!$D$2</f>
        <v>2.26024</v>
      </c>
      <c r="F60" s="65"/>
      <c r="G60" s="68"/>
    </row>
    <row r="61" spans="1:7" ht="15.6" x14ac:dyDescent="0.3">
      <c r="A61" s="16"/>
      <c r="B61" s="18" t="s">
        <v>88</v>
      </c>
      <c r="C61" s="2"/>
      <c r="D61" s="5"/>
      <c r="E61" s="5"/>
      <c r="F61" s="65"/>
      <c r="G61" s="68"/>
    </row>
    <row r="62" spans="1:7" ht="31.2" x14ac:dyDescent="0.3">
      <c r="A62" s="16"/>
      <c r="B62" s="19" t="s">
        <v>113</v>
      </c>
      <c r="C62" s="2"/>
      <c r="D62" s="5"/>
      <c r="E62" s="5"/>
      <c r="F62" s="65"/>
      <c r="G62" s="68"/>
    </row>
    <row r="63" spans="1:7" ht="15.6" x14ac:dyDescent="0.3">
      <c r="A63" s="16"/>
      <c r="B63" s="19" t="s">
        <v>144</v>
      </c>
      <c r="C63" s="2"/>
      <c r="D63" s="5"/>
      <c r="E63" s="5"/>
      <c r="F63" s="65"/>
      <c r="G63" s="68"/>
    </row>
    <row r="64" spans="1:7" ht="15.6" x14ac:dyDescent="0.3">
      <c r="A64" s="16"/>
      <c r="B64" s="17" t="s">
        <v>90</v>
      </c>
      <c r="C64" s="2"/>
      <c r="D64" s="5"/>
      <c r="E64" s="5"/>
      <c r="F64" s="65"/>
      <c r="G64" s="68"/>
    </row>
    <row r="65" spans="1:7" ht="15.6" x14ac:dyDescent="0.3">
      <c r="A65" s="16"/>
      <c r="B65" s="17" t="s">
        <v>134</v>
      </c>
      <c r="C65" s="2"/>
      <c r="D65" s="5"/>
      <c r="E65" s="5"/>
      <c r="F65" s="65"/>
      <c r="G65" s="68"/>
    </row>
    <row r="66" spans="1:7" ht="46.8" x14ac:dyDescent="0.3">
      <c r="A66" s="16">
        <v>5</v>
      </c>
      <c r="B66" s="19" t="s">
        <v>66</v>
      </c>
      <c r="C66" s="2" t="s">
        <v>15</v>
      </c>
      <c r="D66" s="3">
        <f>'Исходные данные'!H15</f>
        <v>0.48183999999999994</v>
      </c>
      <c r="E66" s="3">
        <f>D66*'Исходные данные'!$D$2</f>
        <v>0.48183999999999994</v>
      </c>
      <c r="F66" s="65"/>
      <c r="G66" s="68"/>
    </row>
    <row r="67" spans="1:7" ht="15.6" x14ac:dyDescent="0.3">
      <c r="A67" s="16"/>
      <c r="B67" s="18" t="s">
        <v>87</v>
      </c>
      <c r="C67" s="2"/>
      <c r="D67" s="3"/>
      <c r="E67" s="3"/>
      <c r="F67" s="65"/>
      <c r="G67" s="68"/>
    </row>
    <row r="68" spans="1:7" ht="15.6" x14ac:dyDescent="0.3">
      <c r="A68" s="16"/>
      <c r="B68" s="19" t="s">
        <v>16</v>
      </c>
      <c r="C68" s="2" t="s">
        <v>17</v>
      </c>
      <c r="D68" s="3">
        <f>D66</f>
        <v>0.48183999999999994</v>
      </c>
      <c r="E68" s="3">
        <f>D68*'Исходные данные'!$D$2</f>
        <v>0.48183999999999994</v>
      </c>
      <c r="F68" s="65"/>
      <c r="G68" s="68"/>
    </row>
    <row r="69" spans="1:7" ht="15.6" x14ac:dyDescent="0.3">
      <c r="A69" s="16"/>
      <c r="B69" s="18" t="s">
        <v>88</v>
      </c>
      <c r="C69" s="2"/>
      <c r="D69" s="3"/>
      <c r="E69" s="3"/>
      <c r="F69" s="65"/>
      <c r="G69" s="68"/>
    </row>
    <row r="70" spans="1:7" ht="31.2" x14ac:dyDescent="0.3">
      <c r="A70" s="16"/>
      <c r="B70" s="19" t="s">
        <v>113</v>
      </c>
      <c r="C70" s="2"/>
      <c r="D70" s="3"/>
      <c r="E70" s="3"/>
      <c r="F70" s="65"/>
      <c r="G70" s="68"/>
    </row>
    <row r="71" spans="1:7" ht="15.6" x14ac:dyDescent="0.3">
      <c r="A71" s="16"/>
      <c r="B71" s="19" t="s">
        <v>144</v>
      </c>
      <c r="C71" s="2"/>
      <c r="D71" s="3"/>
      <c r="E71" s="3"/>
      <c r="F71" s="65"/>
      <c r="G71" s="68"/>
    </row>
    <row r="72" spans="1:7" ht="15.6" x14ac:dyDescent="0.3">
      <c r="A72" s="16"/>
      <c r="B72" s="17" t="s">
        <v>90</v>
      </c>
      <c r="C72" s="2"/>
      <c r="D72" s="3"/>
      <c r="E72" s="3"/>
      <c r="F72" s="65"/>
      <c r="G72" s="68"/>
    </row>
    <row r="73" spans="1:7" ht="15.6" x14ac:dyDescent="0.3">
      <c r="A73" s="16"/>
      <c r="B73" s="17" t="s">
        <v>134</v>
      </c>
      <c r="C73" s="2"/>
      <c r="D73" s="3"/>
      <c r="E73" s="3"/>
      <c r="F73" s="66"/>
      <c r="G73" s="69"/>
    </row>
    <row r="74" spans="1:7" ht="15.6" x14ac:dyDescent="0.3">
      <c r="A74" s="16">
        <v>6</v>
      </c>
      <c r="B74" s="2" t="s">
        <v>22</v>
      </c>
      <c r="C74" s="1" t="s">
        <v>23</v>
      </c>
      <c r="D74" s="3">
        <f>'Исходные данные'!D16/100</f>
        <v>136.73325816799999</v>
      </c>
      <c r="E74" s="3">
        <f>D74*'Исходные данные'!$D$2</f>
        <v>136.73325816799999</v>
      </c>
      <c r="F74" s="64" t="s">
        <v>19</v>
      </c>
      <c r="G74" s="67" t="s">
        <v>125</v>
      </c>
    </row>
    <row r="75" spans="1:7" ht="15.6" x14ac:dyDescent="0.3">
      <c r="A75" s="16"/>
      <c r="B75" s="18" t="s">
        <v>87</v>
      </c>
      <c r="C75" s="1"/>
      <c r="D75" s="3"/>
      <c r="E75" s="3"/>
      <c r="F75" s="65"/>
      <c r="G75" s="68"/>
    </row>
    <row r="76" spans="1:7" ht="15.6" x14ac:dyDescent="0.3">
      <c r="A76" s="16"/>
      <c r="B76" s="19" t="s">
        <v>126</v>
      </c>
      <c r="C76" s="1" t="s">
        <v>3</v>
      </c>
      <c r="D76" s="3">
        <f>'Исходные данные'!H16</f>
        <v>1.06856</v>
      </c>
      <c r="E76" s="3">
        <f>D76*'Исходные данные'!$D$2</f>
        <v>1.06856</v>
      </c>
      <c r="F76" s="65"/>
      <c r="G76" s="68"/>
    </row>
    <row r="77" spans="1:7" ht="15.6" x14ac:dyDescent="0.3">
      <c r="A77" s="16"/>
      <c r="B77" s="18" t="s">
        <v>88</v>
      </c>
      <c r="C77" s="1"/>
      <c r="D77" s="3"/>
      <c r="E77" s="3"/>
      <c r="F77" s="65"/>
      <c r="G77" s="68"/>
    </row>
    <row r="78" spans="1:7" ht="15.6" x14ac:dyDescent="0.3">
      <c r="A78" s="16"/>
      <c r="B78" s="19" t="s">
        <v>90</v>
      </c>
      <c r="C78" s="1"/>
      <c r="D78" s="3"/>
      <c r="E78" s="3"/>
      <c r="F78" s="66"/>
      <c r="G78" s="69"/>
    </row>
    <row r="79" spans="1:7" ht="46.8" x14ac:dyDescent="0.3">
      <c r="A79" s="70" t="s">
        <v>28</v>
      </c>
      <c r="B79" s="71"/>
      <c r="C79" s="2" t="s">
        <v>15</v>
      </c>
      <c r="D79" s="3">
        <f>D34+D42+D50+D58+D66</f>
        <v>15.2</v>
      </c>
      <c r="E79" s="3">
        <f>D79*'Исходные данные'!$D$2</f>
        <v>15.2</v>
      </c>
      <c r="F79" s="2"/>
      <c r="G79" s="20"/>
    </row>
    <row r="80" spans="1:7" ht="15.6" x14ac:dyDescent="0.3">
      <c r="A80" s="70" t="s">
        <v>128</v>
      </c>
      <c r="B80" s="71"/>
      <c r="C80" s="2" t="s">
        <v>3</v>
      </c>
      <c r="D80" s="3">
        <f>D76</f>
        <v>1.06856</v>
      </c>
      <c r="E80" s="3">
        <f>D80*'Исходные данные'!$D$2</f>
        <v>1.06856</v>
      </c>
      <c r="F80" s="2"/>
      <c r="G80" s="20"/>
    </row>
    <row r="81" spans="1:7" ht="15.6" x14ac:dyDescent="0.3">
      <c r="A81" s="70" t="s">
        <v>129</v>
      </c>
      <c r="B81" s="71"/>
      <c r="C81" s="2" t="s">
        <v>3</v>
      </c>
      <c r="D81" s="3">
        <f>D79+D80</f>
        <v>16.268560000000001</v>
      </c>
      <c r="E81" s="3">
        <f>D81*'Исходные данные'!$D$2</f>
        <v>16.268560000000001</v>
      </c>
      <c r="F81" s="2"/>
      <c r="G81" s="20"/>
    </row>
    <row r="82" spans="1:7" ht="15.6" x14ac:dyDescent="0.3">
      <c r="A82" s="52" t="s">
        <v>184</v>
      </c>
      <c r="B82" s="53"/>
      <c r="C82" s="53"/>
      <c r="D82" s="53"/>
      <c r="E82" s="53"/>
      <c r="F82" s="53"/>
      <c r="G82" s="54"/>
    </row>
    <row r="83" spans="1:7" ht="46.8" x14ac:dyDescent="0.3">
      <c r="A83" s="16">
        <v>1</v>
      </c>
      <c r="B83" s="19" t="s">
        <v>72</v>
      </c>
      <c r="C83" s="2" t="s">
        <v>15</v>
      </c>
      <c r="D83" s="3">
        <f>(0.42*'Исходные данные'!D17)/1000</f>
        <v>-1.26E-2</v>
      </c>
      <c r="E83" s="3">
        <f>D83*'Исходные данные'!$D$2</f>
        <v>-1.26E-2</v>
      </c>
      <c r="F83" s="64" t="s">
        <v>19</v>
      </c>
      <c r="G83" s="67"/>
    </row>
    <row r="84" spans="1:7" ht="15.6" x14ac:dyDescent="0.3">
      <c r="A84" s="16"/>
      <c r="B84" s="18" t="s">
        <v>87</v>
      </c>
      <c r="C84" s="2"/>
      <c r="D84" s="3"/>
      <c r="E84" s="3"/>
      <c r="F84" s="65"/>
      <c r="G84" s="68"/>
    </row>
    <row r="85" spans="1:7" ht="15.6" x14ac:dyDescent="0.3">
      <c r="A85" s="16"/>
      <c r="B85" s="19" t="s">
        <v>16</v>
      </c>
      <c r="C85" s="2" t="s">
        <v>17</v>
      </c>
      <c r="D85" s="3">
        <f>D83</f>
        <v>-1.26E-2</v>
      </c>
      <c r="E85" s="3">
        <f>D85*'Исходные данные'!$D$2</f>
        <v>-1.26E-2</v>
      </c>
      <c r="F85" s="65"/>
      <c r="G85" s="68"/>
    </row>
    <row r="86" spans="1:7" ht="15.6" x14ac:dyDescent="0.3">
      <c r="A86" s="16"/>
      <c r="B86" s="18" t="s">
        <v>88</v>
      </c>
      <c r="C86" s="2"/>
      <c r="D86" s="1"/>
      <c r="E86" s="1"/>
      <c r="F86" s="65"/>
      <c r="G86" s="68"/>
    </row>
    <row r="87" spans="1:7" ht="31.2" x14ac:dyDescent="0.3">
      <c r="A87" s="16"/>
      <c r="B87" s="19" t="s">
        <v>113</v>
      </c>
      <c r="C87" s="2"/>
      <c r="D87" s="1"/>
      <c r="E87" s="1"/>
      <c r="F87" s="65"/>
      <c r="G87" s="68"/>
    </row>
    <row r="88" spans="1:7" ht="15.6" x14ac:dyDescent="0.3">
      <c r="A88" s="16"/>
      <c r="B88" s="19" t="s">
        <v>144</v>
      </c>
      <c r="C88" s="2"/>
      <c r="D88" s="1"/>
      <c r="E88" s="1"/>
      <c r="F88" s="65"/>
      <c r="G88" s="68"/>
    </row>
    <row r="89" spans="1:7" ht="15.6" x14ac:dyDescent="0.3">
      <c r="A89" s="16"/>
      <c r="B89" s="17" t="s">
        <v>90</v>
      </c>
      <c r="C89" s="2"/>
      <c r="D89" s="1"/>
      <c r="E89" s="1"/>
      <c r="F89" s="65"/>
      <c r="G89" s="68"/>
    </row>
    <row r="90" spans="1:7" ht="15.6" x14ac:dyDescent="0.3">
      <c r="A90" s="16"/>
      <c r="B90" s="17" t="s">
        <v>134</v>
      </c>
      <c r="C90" s="2"/>
      <c r="D90" s="1"/>
      <c r="E90" s="1"/>
      <c r="F90" s="66"/>
      <c r="G90" s="69"/>
    </row>
    <row r="91" spans="1:7" ht="15.6" x14ac:dyDescent="0.3">
      <c r="A91" s="16">
        <v>2</v>
      </c>
      <c r="B91" s="19" t="s">
        <v>34</v>
      </c>
      <c r="C91" s="1" t="s">
        <v>76</v>
      </c>
      <c r="D91" s="1">
        <f>'Исходные данные'!D17</f>
        <v>-30</v>
      </c>
      <c r="E91" s="1">
        <f>D91*'Исходные данные'!$D$2</f>
        <v>-30</v>
      </c>
      <c r="F91" s="73"/>
      <c r="G91" s="67"/>
    </row>
    <row r="92" spans="1:7" ht="15.6" x14ac:dyDescent="0.3">
      <c r="A92" s="16"/>
      <c r="B92" s="18" t="s">
        <v>87</v>
      </c>
      <c r="C92" s="1"/>
      <c r="D92" s="1"/>
      <c r="E92" s="1"/>
      <c r="F92" s="74"/>
      <c r="G92" s="68"/>
    </row>
    <row r="93" spans="1:7" ht="15.6" x14ac:dyDescent="0.3">
      <c r="A93" s="16"/>
      <c r="B93" s="17" t="s">
        <v>35</v>
      </c>
      <c r="C93" s="1" t="s">
        <v>76</v>
      </c>
      <c r="D93" s="4">
        <f>D91</f>
        <v>-30</v>
      </c>
      <c r="E93" s="4">
        <f>D93*'Исходные данные'!$D$2</f>
        <v>-30</v>
      </c>
      <c r="F93" s="74"/>
      <c r="G93" s="68"/>
    </row>
    <row r="94" spans="1:7" ht="15.6" x14ac:dyDescent="0.3">
      <c r="A94" s="16"/>
      <c r="B94" s="18" t="s">
        <v>88</v>
      </c>
      <c r="C94" s="2"/>
      <c r="D94" s="1"/>
      <c r="E94" s="1"/>
      <c r="F94" s="74"/>
      <c r="G94" s="68"/>
    </row>
    <row r="95" spans="1:7" ht="31.2" x14ac:dyDescent="0.3">
      <c r="A95" s="16"/>
      <c r="B95" s="19" t="s">
        <v>113</v>
      </c>
      <c r="C95" s="2"/>
      <c r="D95" s="1"/>
      <c r="E95" s="1"/>
      <c r="F95" s="74"/>
      <c r="G95" s="68"/>
    </row>
    <row r="96" spans="1:7" ht="15.6" x14ac:dyDescent="0.3">
      <c r="A96" s="16"/>
      <c r="B96" s="19" t="s">
        <v>144</v>
      </c>
      <c r="C96" s="2"/>
      <c r="D96" s="1"/>
      <c r="E96" s="1"/>
      <c r="F96" s="74"/>
      <c r="G96" s="68"/>
    </row>
    <row r="97" spans="1:7" ht="15.6" x14ac:dyDescent="0.3">
      <c r="A97" s="16"/>
      <c r="B97" s="17" t="s">
        <v>90</v>
      </c>
      <c r="C97" s="2"/>
      <c r="D97" s="1"/>
      <c r="E97" s="1"/>
      <c r="F97" s="74"/>
      <c r="G97" s="68"/>
    </row>
    <row r="98" spans="1:7" ht="15.6" x14ac:dyDescent="0.3">
      <c r="A98" s="16"/>
      <c r="B98" s="17" t="s">
        <v>134</v>
      </c>
      <c r="C98" s="2"/>
      <c r="D98" s="1"/>
      <c r="E98" s="1"/>
      <c r="F98" s="75"/>
      <c r="G98" s="69"/>
    </row>
    <row r="99" spans="1:7" ht="15.6" x14ac:dyDescent="0.3">
      <c r="A99" s="16">
        <v>3</v>
      </c>
      <c r="B99" s="19" t="s">
        <v>77</v>
      </c>
      <c r="C99" s="1" t="s">
        <v>36</v>
      </c>
      <c r="D99" s="4">
        <f>(D101*3.14*'Исходные данные'!B5)/100</f>
        <v>-1.7898E-3</v>
      </c>
      <c r="E99" s="4">
        <f>D99*'Исходные данные'!$D$2</f>
        <v>-1.7898E-3</v>
      </c>
      <c r="F99" s="64"/>
      <c r="G99" s="67"/>
    </row>
    <row r="100" spans="1:7" ht="15.6" x14ac:dyDescent="0.3">
      <c r="A100" s="16"/>
      <c r="B100" s="18" t="s">
        <v>87</v>
      </c>
      <c r="C100" s="1"/>
      <c r="D100" s="1"/>
      <c r="E100" s="1"/>
      <c r="F100" s="65"/>
      <c r="G100" s="68"/>
    </row>
    <row r="101" spans="1:7" ht="15.6" x14ac:dyDescent="0.3">
      <c r="A101" s="16"/>
      <c r="B101" s="1" t="s">
        <v>74</v>
      </c>
      <c r="C101" s="1" t="s">
        <v>76</v>
      </c>
      <c r="D101" s="1">
        <f>'Исходные данные'!D8</f>
        <v>-3</v>
      </c>
      <c r="E101" s="1">
        <f>D101*'Исходные данные'!$D$2</f>
        <v>-3</v>
      </c>
      <c r="F101" s="65"/>
      <c r="G101" s="68"/>
    </row>
    <row r="102" spans="1:7" ht="15.6" x14ac:dyDescent="0.3">
      <c r="A102" s="16"/>
      <c r="B102" s="18" t="s">
        <v>88</v>
      </c>
      <c r="C102" s="2"/>
      <c r="D102" s="1"/>
      <c r="E102" s="1"/>
      <c r="F102" s="65"/>
      <c r="G102" s="68"/>
    </row>
    <row r="103" spans="1:7" ht="31.2" x14ac:dyDescent="0.3">
      <c r="A103" s="16"/>
      <c r="B103" s="19" t="s">
        <v>113</v>
      </c>
      <c r="C103" s="2"/>
      <c r="D103" s="1"/>
      <c r="E103" s="1"/>
      <c r="F103" s="65"/>
      <c r="G103" s="68"/>
    </row>
    <row r="104" spans="1:7" ht="15.6" x14ac:dyDescent="0.3">
      <c r="A104" s="16"/>
      <c r="B104" s="19" t="s">
        <v>144</v>
      </c>
      <c r="C104" s="2"/>
      <c r="D104" s="1"/>
      <c r="E104" s="1"/>
      <c r="F104" s="65"/>
      <c r="G104" s="68"/>
    </row>
    <row r="105" spans="1:7" ht="15.6" x14ac:dyDescent="0.3">
      <c r="A105" s="16"/>
      <c r="B105" s="17" t="s">
        <v>90</v>
      </c>
      <c r="C105" s="2"/>
      <c r="D105" s="1"/>
      <c r="E105" s="1"/>
      <c r="F105" s="65"/>
      <c r="G105" s="68"/>
    </row>
    <row r="106" spans="1:7" ht="15.6" x14ac:dyDescent="0.3">
      <c r="A106" s="16"/>
      <c r="B106" s="17" t="s">
        <v>134</v>
      </c>
      <c r="C106" s="2"/>
      <c r="D106" s="1"/>
      <c r="E106" s="1"/>
      <c r="F106" s="66"/>
      <c r="G106" s="69"/>
    </row>
    <row r="107" spans="1:7" ht="15.6" x14ac:dyDescent="0.3">
      <c r="A107" s="16">
        <v>4</v>
      </c>
      <c r="B107" s="19" t="s">
        <v>78</v>
      </c>
      <c r="C107" s="1" t="s">
        <v>36</v>
      </c>
      <c r="D107" s="4">
        <f>('Исходные данные'!D9*('Исходные данные'!B5+2*'Исходные данные'!C3-2.5+0.4))/100</f>
        <v>0.30705000000000005</v>
      </c>
      <c r="E107" s="4">
        <f>D107*'Исходные данные'!$D$2</f>
        <v>0.30705000000000005</v>
      </c>
      <c r="F107" s="64"/>
      <c r="G107" s="67"/>
    </row>
    <row r="108" spans="1:7" ht="15.6" x14ac:dyDescent="0.3">
      <c r="A108" s="16"/>
      <c r="B108" s="18" t="s">
        <v>87</v>
      </c>
      <c r="C108" s="1"/>
      <c r="D108" s="1"/>
      <c r="E108" s="1"/>
      <c r="F108" s="65"/>
      <c r="G108" s="68"/>
    </row>
    <row r="109" spans="1:7" ht="15.6" x14ac:dyDescent="0.3">
      <c r="A109" s="16"/>
      <c r="B109" s="1" t="s">
        <v>74</v>
      </c>
      <c r="C109" s="1" t="s">
        <v>76</v>
      </c>
      <c r="D109" s="1">
        <f>'Исходные данные'!D9</f>
        <v>-15</v>
      </c>
      <c r="E109" s="1">
        <f>D109*'Исходные данные'!$D$2</f>
        <v>-15</v>
      </c>
      <c r="F109" s="65"/>
      <c r="G109" s="68"/>
    </row>
    <row r="110" spans="1:7" ht="15.6" x14ac:dyDescent="0.3">
      <c r="A110" s="16"/>
      <c r="B110" s="18" t="s">
        <v>88</v>
      </c>
      <c r="C110" s="2"/>
      <c r="D110" s="1"/>
      <c r="E110" s="1"/>
      <c r="F110" s="65"/>
      <c r="G110" s="68"/>
    </row>
    <row r="111" spans="1:7" ht="31.2" x14ac:dyDescent="0.3">
      <c r="A111" s="16"/>
      <c r="B111" s="19" t="s">
        <v>113</v>
      </c>
      <c r="C111" s="2"/>
      <c r="D111" s="1"/>
      <c r="E111" s="1"/>
      <c r="F111" s="65"/>
      <c r="G111" s="68"/>
    </row>
    <row r="112" spans="1:7" ht="15.6" x14ac:dyDescent="0.3">
      <c r="A112" s="16"/>
      <c r="B112" s="19" t="s">
        <v>144</v>
      </c>
      <c r="C112" s="2"/>
      <c r="D112" s="1"/>
      <c r="E112" s="1"/>
      <c r="F112" s="65"/>
      <c r="G112" s="68"/>
    </row>
    <row r="113" spans="1:7" ht="15.6" x14ac:dyDescent="0.3">
      <c r="A113" s="16"/>
      <c r="B113" s="17" t="s">
        <v>90</v>
      </c>
      <c r="C113" s="2"/>
      <c r="D113" s="1"/>
      <c r="E113" s="1"/>
      <c r="F113" s="65"/>
      <c r="G113" s="68"/>
    </row>
    <row r="114" spans="1:7" ht="15.6" x14ac:dyDescent="0.3">
      <c r="A114" s="16"/>
      <c r="B114" s="17" t="s">
        <v>134</v>
      </c>
      <c r="C114" s="2"/>
      <c r="D114" s="1"/>
      <c r="E114" s="1"/>
      <c r="F114" s="66"/>
      <c r="G114" s="69"/>
    </row>
    <row r="115" spans="1:7" ht="15.6" x14ac:dyDescent="0.3">
      <c r="A115" s="16">
        <v>5</v>
      </c>
      <c r="B115" s="19" t="s">
        <v>37</v>
      </c>
      <c r="C115" s="1" t="s">
        <v>76</v>
      </c>
      <c r="D115" s="1">
        <f>ROUND(('Исходные данные'!D9*2+('Исходные данные'!D8/2*'Исходные данные'!D9/2)),0)</f>
        <v>-19</v>
      </c>
      <c r="E115" s="1">
        <f>D115*'Исходные данные'!$D$2</f>
        <v>-19</v>
      </c>
      <c r="F115" s="76"/>
      <c r="G115" s="72"/>
    </row>
    <row r="116" spans="1:7" ht="15.6" x14ac:dyDescent="0.3">
      <c r="A116" s="16"/>
      <c r="B116" s="18" t="s">
        <v>87</v>
      </c>
      <c r="C116" s="1"/>
      <c r="D116" s="1"/>
      <c r="E116" s="1"/>
      <c r="F116" s="76"/>
      <c r="G116" s="72"/>
    </row>
    <row r="117" spans="1:7" ht="15" customHeight="1" x14ac:dyDescent="0.3">
      <c r="A117" s="16"/>
      <c r="B117" s="17" t="s">
        <v>38</v>
      </c>
      <c r="C117" s="1" t="s">
        <v>76</v>
      </c>
      <c r="D117" s="1">
        <f>D115</f>
        <v>-19</v>
      </c>
      <c r="E117" s="1">
        <f>D117*'Исходные данные'!$D$2</f>
        <v>-19</v>
      </c>
      <c r="F117" s="76"/>
      <c r="G117" s="72"/>
    </row>
    <row r="118" spans="1:7" ht="15" customHeight="1" x14ac:dyDescent="0.3">
      <c r="A118" s="16"/>
      <c r="B118" s="18" t="s">
        <v>88</v>
      </c>
      <c r="C118" s="2"/>
      <c r="D118" s="1"/>
      <c r="E118" s="1"/>
      <c r="F118" s="76"/>
      <c r="G118" s="72"/>
    </row>
    <row r="119" spans="1:7" ht="15" customHeight="1" x14ac:dyDescent="0.3">
      <c r="A119" s="16"/>
      <c r="B119" s="19" t="s">
        <v>113</v>
      </c>
      <c r="C119" s="2"/>
      <c r="D119" s="1"/>
      <c r="E119" s="1"/>
      <c r="F119" s="76"/>
      <c r="G119" s="72"/>
    </row>
    <row r="120" spans="1:7" ht="15" customHeight="1" x14ac:dyDescent="0.3">
      <c r="A120" s="16"/>
      <c r="B120" s="19" t="s">
        <v>144</v>
      </c>
      <c r="C120" s="2"/>
      <c r="D120" s="1"/>
      <c r="E120" s="1"/>
      <c r="F120" s="76"/>
      <c r="G120" s="72"/>
    </row>
    <row r="121" spans="1:7" ht="15" customHeight="1" x14ac:dyDescent="0.3">
      <c r="A121" s="16"/>
      <c r="B121" s="17" t="s">
        <v>90</v>
      </c>
      <c r="C121" s="2"/>
      <c r="D121" s="1"/>
      <c r="E121" s="1"/>
      <c r="F121" s="76"/>
      <c r="G121" s="72"/>
    </row>
    <row r="122" spans="1:7" ht="15" customHeight="1" x14ac:dyDescent="0.3">
      <c r="A122" s="16"/>
      <c r="B122" s="17" t="s">
        <v>134</v>
      </c>
      <c r="C122" s="2"/>
      <c r="D122" s="1"/>
      <c r="E122" s="1"/>
      <c r="F122" s="76"/>
      <c r="G122" s="72"/>
    </row>
    <row r="123" spans="1:7" ht="15" customHeight="1" x14ac:dyDescent="0.3">
      <c r="A123" s="52" t="s">
        <v>185</v>
      </c>
      <c r="B123" s="53"/>
      <c r="C123" s="53"/>
      <c r="D123" s="53"/>
      <c r="E123" s="53"/>
      <c r="F123" s="53"/>
      <c r="G123" s="54"/>
    </row>
    <row r="124" spans="1:7" ht="53.25" customHeight="1" x14ac:dyDescent="0.3">
      <c r="A124" s="16">
        <v>1</v>
      </c>
      <c r="B124" s="19" t="s">
        <v>71</v>
      </c>
      <c r="C124" s="2" t="s">
        <v>15</v>
      </c>
      <c r="D124" s="1">
        <f>40/1000</f>
        <v>0.04</v>
      </c>
      <c r="E124" s="1">
        <f>D124*'Исходные данные'!$D$2</f>
        <v>0.04</v>
      </c>
      <c r="F124" s="64" t="s">
        <v>19</v>
      </c>
      <c r="G124" s="67"/>
    </row>
    <row r="125" spans="1:7" ht="15" customHeight="1" x14ac:dyDescent="0.3">
      <c r="A125" s="16"/>
      <c r="B125" s="18" t="s">
        <v>87</v>
      </c>
      <c r="C125" s="1"/>
      <c r="D125" s="1"/>
      <c r="E125" s="1"/>
      <c r="F125" s="65"/>
      <c r="G125" s="68"/>
    </row>
    <row r="126" spans="1:7" ht="15" customHeight="1" x14ac:dyDescent="0.3">
      <c r="A126" s="16"/>
      <c r="B126" s="19" t="s">
        <v>16</v>
      </c>
      <c r="C126" s="2" t="s">
        <v>17</v>
      </c>
      <c r="D126" s="1">
        <f>D124</f>
        <v>0.04</v>
      </c>
      <c r="E126" s="1">
        <f>D126*'Исходные данные'!$D$2</f>
        <v>0.04</v>
      </c>
      <c r="F126" s="65"/>
      <c r="G126" s="68"/>
    </row>
    <row r="127" spans="1:7" ht="15" customHeight="1" x14ac:dyDescent="0.3">
      <c r="A127" s="16"/>
      <c r="B127" s="18" t="s">
        <v>88</v>
      </c>
      <c r="C127" s="2"/>
      <c r="D127" s="1"/>
      <c r="E127" s="1"/>
      <c r="F127" s="65"/>
      <c r="G127" s="68"/>
    </row>
    <row r="128" spans="1:7" ht="15" customHeight="1" x14ac:dyDescent="0.3">
      <c r="A128" s="16"/>
      <c r="B128" s="19" t="s">
        <v>113</v>
      </c>
      <c r="C128" s="2"/>
      <c r="D128" s="1"/>
      <c r="E128" s="1"/>
      <c r="F128" s="65"/>
      <c r="G128" s="68"/>
    </row>
    <row r="129" spans="1:7" ht="15" customHeight="1" x14ac:dyDescent="0.3">
      <c r="A129" s="16"/>
      <c r="B129" s="17" t="s">
        <v>90</v>
      </c>
      <c r="C129" s="2"/>
      <c r="D129" s="1"/>
      <c r="E129" s="1"/>
      <c r="F129" s="65"/>
      <c r="G129" s="68"/>
    </row>
    <row r="130" spans="1:7" ht="15" customHeight="1" x14ac:dyDescent="0.3">
      <c r="A130" s="16"/>
      <c r="B130" s="17" t="s">
        <v>134</v>
      </c>
      <c r="C130" s="2"/>
      <c r="D130" s="1"/>
      <c r="E130" s="1"/>
      <c r="F130" s="66"/>
      <c r="G130" s="69"/>
    </row>
    <row r="131" spans="1:7" ht="15" customHeight="1" x14ac:dyDescent="0.3">
      <c r="A131" s="16">
        <v>2</v>
      </c>
      <c r="B131" s="19" t="s">
        <v>40</v>
      </c>
      <c r="C131" s="1" t="s">
        <v>76</v>
      </c>
      <c r="D131" s="1">
        <v>40</v>
      </c>
      <c r="E131" s="1">
        <f>D131*'Исходные данные'!$D$2</f>
        <v>40</v>
      </c>
      <c r="F131" s="64"/>
      <c r="G131" s="67"/>
    </row>
    <row r="132" spans="1:7" ht="15" customHeight="1" x14ac:dyDescent="0.3">
      <c r="A132" s="16"/>
      <c r="B132" s="18" t="s">
        <v>87</v>
      </c>
      <c r="C132" s="1"/>
      <c r="D132" s="1"/>
      <c r="E132" s="1"/>
      <c r="F132" s="65"/>
      <c r="G132" s="68"/>
    </row>
    <row r="133" spans="1:7" ht="15" customHeight="1" x14ac:dyDescent="0.3">
      <c r="A133" s="16"/>
      <c r="B133" s="17" t="s">
        <v>136</v>
      </c>
      <c r="C133" s="1" t="s">
        <v>76</v>
      </c>
      <c r="D133" s="1">
        <v>40</v>
      </c>
      <c r="E133" s="1">
        <f>D133*'Исходные данные'!$D$2</f>
        <v>40</v>
      </c>
      <c r="F133" s="66"/>
      <c r="G133" s="69"/>
    </row>
    <row r="134" spans="1:7" ht="15" customHeight="1" x14ac:dyDescent="0.3">
      <c r="A134" s="16">
        <v>3</v>
      </c>
      <c r="B134" s="19" t="s">
        <v>41</v>
      </c>
      <c r="C134" s="1" t="s">
        <v>76</v>
      </c>
      <c r="D134" s="1">
        <v>20</v>
      </c>
      <c r="E134" s="1">
        <f>D134*'Исходные данные'!$D$2</f>
        <v>20</v>
      </c>
      <c r="F134" s="64"/>
      <c r="G134" s="67"/>
    </row>
    <row r="135" spans="1:7" ht="15" customHeight="1" x14ac:dyDescent="0.3">
      <c r="A135" s="16"/>
      <c r="B135" s="18" t="s">
        <v>87</v>
      </c>
      <c r="C135" s="1"/>
      <c r="D135" s="1"/>
      <c r="E135" s="1"/>
      <c r="F135" s="65"/>
      <c r="G135" s="68"/>
    </row>
    <row r="136" spans="1:7" ht="15" customHeight="1" x14ac:dyDescent="0.3">
      <c r="A136" s="16"/>
      <c r="B136" s="17" t="s">
        <v>39</v>
      </c>
      <c r="C136" s="1" t="s">
        <v>76</v>
      </c>
      <c r="D136" s="1">
        <v>20</v>
      </c>
      <c r="E136" s="1">
        <f>D136*'Исходные данные'!$D$2</f>
        <v>20</v>
      </c>
      <c r="F136" s="66"/>
      <c r="G136" s="69"/>
    </row>
    <row r="137" spans="1:7" ht="15.6" x14ac:dyDescent="0.3">
      <c r="A137" s="52" t="s">
        <v>186</v>
      </c>
      <c r="B137" s="53"/>
      <c r="C137" s="53"/>
      <c r="D137" s="53"/>
      <c r="E137" s="53"/>
      <c r="F137" s="53"/>
      <c r="G137" s="54"/>
    </row>
    <row r="138" spans="1:7" ht="46.8" x14ac:dyDescent="0.3">
      <c r="A138" s="16">
        <v>1</v>
      </c>
      <c r="B138" s="19" t="s">
        <v>42</v>
      </c>
      <c r="C138" s="2" t="s">
        <v>15</v>
      </c>
      <c r="D138" s="3">
        <f>(1.08*'Исходные данные'!D18)/1000</f>
        <v>0</v>
      </c>
      <c r="E138" s="3">
        <f>D138*'Исходные данные'!$D$2</f>
        <v>0</v>
      </c>
      <c r="F138" s="64" t="s">
        <v>19</v>
      </c>
      <c r="G138" s="67"/>
    </row>
    <row r="139" spans="1:7" ht="15.6" x14ac:dyDescent="0.3">
      <c r="A139" s="16"/>
      <c r="B139" s="18" t="s">
        <v>87</v>
      </c>
      <c r="C139" s="1"/>
      <c r="D139" s="1"/>
      <c r="E139" s="1"/>
      <c r="F139" s="65"/>
      <c r="G139" s="68"/>
    </row>
    <row r="140" spans="1:7" ht="15.6" x14ac:dyDescent="0.3">
      <c r="A140" s="16"/>
      <c r="B140" s="2" t="s">
        <v>16</v>
      </c>
      <c r="C140" s="1" t="s">
        <v>18</v>
      </c>
      <c r="D140" s="3">
        <f>D138</f>
        <v>0</v>
      </c>
      <c r="E140" s="3">
        <f>D140*'Исходные данные'!$D$2</f>
        <v>0</v>
      </c>
      <c r="F140" s="65"/>
      <c r="G140" s="68"/>
    </row>
    <row r="141" spans="1:7" ht="15.6" x14ac:dyDescent="0.3">
      <c r="A141" s="16"/>
      <c r="B141" s="18" t="s">
        <v>88</v>
      </c>
      <c r="C141" s="2"/>
      <c r="D141" s="1"/>
      <c r="E141" s="1"/>
      <c r="F141" s="65"/>
      <c r="G141" s="68"/>
    </row>
    <row r="142" spans="1:7" ht="31.2" x14ac:dyDescent="0.3">
      <c r="A142" s="16"/>
      <c r="B142" s="19" t="s">
        <v>113</v>
      </c>
      <c r="C142" s="2"/>
      <c r="D142" s="1"/>
      <c r="E142" s="1"/>
      <c r="F142" s="65"/>
      <c r="G142" s="68"/>
    </row>
    <row r="143" spans="1:7" ht="15.6" x14ac:dyDescent="0.3">
      <c r="A143" s="16"/>
      <c r="B143" s="19" t="s">
        <v>144</v>
      </c>
      <c r="C143" s="2"/>
      <c r="D143" s="1"/>
      <c r="E143" s="1"/>
      <c r="F143" s="65"/>
      <c r="G143" s="68"/>
    </row>
    <row r="144" spans="1:7" ht="15.6" x14ac:dyDescent="0.3">
      <c r="A144" s="16"/>
      <c r="B144" s="17" t="s">
        <v>90</v>
      </c>
      <c r="C144" s="2"/>
      <c r="D144" s="1"/>
      <c r="E144" s="1"/>
      <c r="F144" s="65"/>
      <c r="G144" s="68"/>
    </row>
    <row r="145" spans="1:7" ht="15.6" x14ac:dyDescent="0.3">
      <c r="A145" s="16"/>
      <c r="B145" s="17" t="s">
        <v>134</v>
      </c>
      <c r="C145" s="2"/>
      <c r="D145" s="1"/>
      <c r="E145" s="1"/>
      <c r="F145" s="66"/>
      <c r="G145" s="69"/>
    </row>
    <row r="146" spans="1:7" ht="24" customHeight="1" x14ac:dyDescent="0.3">
      <c r="A146" s="16">
        <v>2</v>
      </c>
      <c r="B146" s="19" t="s">
        <v>137</v>
      </c>
      <c r="C146" s="1" t="s">
        <v>36</v>
      </c>
      <c r="D146" s="3">
        <f>(('Исходные данные'!B5+0.1)*3.14+0.6)/100</f>
        <v>9.7365999999999998E-3</v>
      </c>
      <c r="E146" s="3">
        <f>D146*'Исходные данные'!$D$2</f>
        <v>9.7365999999999998E-3</v>
      </c>
      <c r="F146" s="64"/>
      <c r="G146" s="67" t="s">
        <v>140</v>
      </c>
    </row>
    <row r="147" spans="1:7" ht="16.5" customHeight="1" x14ac:dyDescent="0.3">
      <c r="A147" s="16"/>
      <c r="B147" s="18" t="s">
        <v>87</v>
      </c>
      <c r="C147" s="1"/>
      <c r="D147" s="1"/>
      <c r="E147" s="1"/>
      <c r="F147" s="65"/>
      <c r="G147" s="68"/>
    </row>
    <row r="148" spans="1:7" ht="15.6" x14ac:dyDescent="0.3">
      <c r="A148" s="16"/>
      <c r="B148" s="19" t="s">
        <v>75</v>
      </c>
      <c r="C148" s="1" t="s">
        <v>76</v>
      </c>
      <c r="D148" s="4">
        <v>1</v>
      </c>
      <c r="E148" s="4">
        <f>D148*'Исходные данные'!$D$2</f>
        <v>1</v>
      </c>
      <c r="F148" s="65"/>
      <c r="G148" s="68"/>
    </row>
    <row r="149" spans="1:7" ht="15.6" x14ac:dyDescent="0.3">
      <c r="A149" s="16"/>
      <c r="B149" s="18" t="s">
        <v>88</v>
      </c>
      <c r="C149" s="2"/>
      <c r="D149" s="1"/>
      <c r="E149" s="1"/>
      <c r="F149" s="65"/>
      <c r="G149" s="68"/>
    </row>
    <row r="150" spans="1:7" ht="31.2" x14ac:dyDescent="0.3">
      <c r="A150" s="16"/>
      <c r="B150" s="19" t="s">
        <v>141</v>
      </c>
      <c r="C150" s="1"/>
      <c r="D150" s="4"/>
      <c r="E150" s="4"/>
      <c r="F150" s="65"/>
      <c r="G150" s="68"/>
    </row>
    <row r="151" spans="1:7" ht="15.6" x14ac:dyDescent="0.3">
      <c r="A151" s="16"/>
      <c r="B151" s="19" t="s">
        <v>142</v>
      </c>
      <c r="C151" s="1"/>
      <c r="D151" s="4"/>
      <c r="E151" s="4"/>
      <c r="F151" s="65"/>
      <c r="G151" s="68"/>
    </row>
    <row r="152" spans="1:7" ht="15.6" x14ac:dyDescent="0.3">
      <c r="A152" s="16"/>
      <c r="B152" s="19" t="s">
        <v>90</v>
      </c>
      <c r="C152" s="1"/>
      <c r="D152" s="4"/>
      <c r="E152" s="4"/>
      <c r="F152" s="66"/>
      <c r="G152" s="69"/>
    </row>
    <row r="153" spans="1:7" ht="15.6" x14ac:dyDescent="0.3">
      <c r="A153" s="16">
        <v>3</v>
      </c>
      <c r="B153" s="19" t="s">
        <v>43</v>
      </c>
      <c r="C153" s="1" t="s">
        <v>76</v>
      </c>
      <c r="D153" s="4">
        <f>D155</f>
        <v>0</v>
      </c>
      <c r="E153" s="4">
        <f>D153*'Исходные данные'!$D$2</f>
        <v>0</v>
      </c>
      <c r="F153" s="64"/>
      <c r="G153" s="67"/>
    </row>
    <row r="154" spans="1:7" ht="15.6" x14ac:dyDescent="0.3">
      <c r="A154" s="16"/>
      <c r="B154" s="18" t="s">
        <v>87</v>
      </c>
      <c r="C154" s="1"/>
      <c r="D154" s="1"/>
      <c r="E154" s="1"/>
      <c r="F154" s="65"/>
      <c r="G154" s="68"/>
    </row>
    <row r="155" spans="1:7" ht="31.2" x14ac:dyDescent="0.3">
      <c r="A155" s="16"/>
      <c r="B155" s="19" t="s">
        <v>139</v>
      </c>
      <c r="C155" s="1" t="s">
        <v>76</v>
      </c>
      <c r="D155" s="4">
        <f>'Исходные данные'!D18</f>
        <v>0</v>
      </c>
      <c r="E155" s="4">
        <f>D155*'Исходные данные'!$D$2</f>
        <v>0</v>
      </c>
      <c r="F155" s="65"/>
      <c r="G155" s="68"/>
    </row>
    <row r="156" spans="1:7" ht="15.6" x14ac:dyDescent="0.3">
      <c r="A156" s="16"/>
      <c r="B156" s="18" t="s">
        <v>88</v>
      </c>
      <c r="C156" s="1"/>
      <c r="D156" s="4"/>
      <c r="E156" s="4"/>
      <c r="F156" s="65"/>
      <c r="G156" s="68"/>
    </row>
    <row r="157" spans="1:7" ht="31.2" x14ac:dyDescent="0.3">
      <c r="A157" s="16"/>
      <c r="B157" s="19" t="s">
        <v>113</v>
      </c>
      <c r="C157" s="1"/>
      <c r="D157" s="4"/>
      <c r="E157" s="4"/>
      <c r="F157" s="65"/>
      <c r="G157" s="68"/>
    </row>
    <row r="158" spans="1:7" ht="15.6" x14ac:dyDescent="0.3">
      <c r="A158" s="16"/>
      <c r="B158" s="19" t="s">
        <v>144</v>
      </c>
      <c r="C158" s="1"/>
      <c r="D158" s="4"/>
      <c r="E158" s="4"/>
      <c r="F158" s="65"/>
      <c r="G158" s="68"/>
    </row>
    <row r="159" spans="1:7" ht="15.6" x14ac:dyDescent="0.3">
      <c r="A159" s="16"/>
      <c r="B159" s="17" t="s">
        <v>90</v>
      </c>
      <c r="C159" s="1"/>
      <c r="D159" s="4"/>
      <c r="E159" s="4"/>
      <c r="F159" s="65"/>
      <c r="G159" s="68"/>
    </row>
    <row r="160" spans="1:7" ht="15.6" x14ac:dyDescent="0.3">
      <c r="A160" s="16"/>
      <c r="B160" s="17" t="s">
        <v>134</v>
      </c>
      <c r="C160" s="1"/>
      <c r="D160" s="4"/>
      <c r="E160" s="4"/>
      <c r="F160" s="66"/>
      <c r="G160" s="69"/>
    </row>
    <row r="161" spans="1:7" ht="15.6" x14ac:dyDescent="0.3">
      <c r="A161" s="16">
        <v>4</v>
      </c>
      <c r="B161" s="17" t="s">
        <v>166</v>
      </c>
      <c r="C161" s="1" t="s">
        <v>24</v>
      </c>
      <c r="D161" s="3">
        <f>D155*2*('Исходные данные'!C3-2.5)+3.14*('Исходные данные'!B5/2)^2</f>
        <v>2.8338499999999998E-4</v>
      </c>
      <c r="E161" s="3">
        <f>D161*'Исходные данные'!$D$2</f>
        <v>2.8338499999999998E-4</v>
      </c>
      <c r="F161" s="64"/>
      <c r="G161" s="67" t="s">
        <v>143</v>
      </c>
    </row>
    <row r="162" spans="1:7" ht="15.6" x14ac:dyDescent="0.3">
      <c r="A162" s="16"/>
      <c r="B162" s="18" t="s">
        <v>87</v>
      </c>
      <c r="C162" s="1"/>
      <c r="D162" s="1"/>
      <c r="E162" s="1"/>
      <c r="F162" s="65"/>
      <c r="G162" s="68"/>
    </row>
    <row r="163" spans="1:7" ht="31.2" x14ac:dyDescent="0.3">
      <c r="A163" s="16"/>
      <c r="B163" s="19" t="s">
        <v>25</v>
      </c>
      <c r="C163" s="1" t="s">
        <v>3</v>
      </c>
      <c r="D163" s="3">
        <f>D161/1000</f>
        <v>2.8338499999999997E-7</v>
      </c>
      <c r="E163" s="3">
        <f>D163*'Исходные данные'!$D$2</f>
        <v>2.8338499999999997E-7</v>
      </c>
      <c r="F163" s="65"/>
      <c r="G163" s="68"/>
    </row>
    <row r="164" spans="1:7" ht="15.6" x14ac:dyDescent="0.3">
      <c r="A164" s="16"/>
      <c r="B164" s="18" t="s">
        <v>88</v>
      </c>
      <c r="C164" s="2"/>
      <c r="D164" s="1"/>
      <c r="E164" s="1"/>
      <c r="F164" s="65"/>
      <c r="G164" s="68"/>
    </row>
    <row r="165" spans="1:7" ht="31.2" x14ac:dyDescent="0.3">
      <c r="A165" s="16"/>
      <c r="B165" s="19" t="s">
        <v>113</v>
      </c>
      <c r="C165" s="2"/>
      <c r="D165" s="1"/>
      <c r="E165" s="1"/>
      <c r="F165" s="65"/>
      <c r="G165" s="68"/>
    </row>
    <row r="166" spans="1:7" ht="15.6" x14ac:dyDescent="0.3">
      <c r="A166" s="16"/>
      <c r="B166" s="17" t="s">
        <v>90</v>
      </c>
      <c r="C166" s="2"/>
      <c r="D166" s="1"/>
      <c r="E166" s="1"/>
      <c r="F166" s="65"/>
      <c r="G166" s="68"/>
    </row>
    <row r="167" spans="1:7" ht="15.6" x14ac:dyDescent="0.3">
      <c r="A167" s="16"/>
      <c r="B167" s="17" t="s">
        <v>134</v>
      </c>
      <c r="C167" s="2"/>
      <c r="D167" s="1"/>
      <c r="E167" s="1"/>
      <c r="F167" s="66"/>
      <c r="G167" s="69"/>
    </row>
    <row r="168" spans="1:7" ht="15.6" x14ac:dyDescent="0.3">
      <c r="A168" s="52" t="s">
        <v>187</v>
      </c>
      <c r="B168" s="53"/>
      <c r="C168" s="53"/>
      <c r="D168" s="53"/>
      <c r="E168" s="53"/>
      <c r="F168" s="53"/>
      <c r="G168" s="54"/>
    </row>
    <row r="169" spans="1:7" ht="15.75" customHeight="1" x14ac:dyDescent="0.3">
      <c r="A169" s="16">
        <v>1</v>
      </c>
      <c r="B169" s="17" t="s">
        <v>82</v>
      </c>
      <c r="C169" s="1" t="str">
        <f>C7</f>
        <v>100 м2</v>
      </c>
      <c r="D169" s="3">
        <f>D7</f>
        <v>1.3611900000000003E-5</v>
      </c>
      <c r="E169" s="3">
        <f>D169*'Исходные данные'!$D$2</f>
        <v>1.3611900000000003E-5</v>
      </c>
      <c r="F169" s="64" t="s">
        <v>33</v>
      </c>
      <c r="G169" s="67" t="s">
        <v>89</v>
      </c>
    </row>
    <row r="170" spans="1:7" ht="15.6" x14ac:dyDescent="0.3">
      <c r="A170" s="16"/>
      <c r="B170" s="18" t="s">
        <v>87</v>
      </c>
      <c r="C170" s="1"/>
      <c r="D170" s="1"/>
      <c r="E170" s="1"/>
      <c r="F170" s="65"/>
      <c r="G170" s="68"/>
    </row>
    <row r="171" spans="1:7" ht="31.2" x14ac:dyDescent="0.3">
      <c r="A171" s="16"/>
      <c r="B171" s="19" t="str">
        <f>B9</f>
        <v>Детали деревянные лесов из пиломатериалов хвойных пород</v>
      </c>
      <c r="C171" s="1" t="str">
        <f>C9</f>
        <v>м3</v>
      </c>
      <c r="D171" s="3">
        <f>D9</f>
        <v>1.2250710000000002E-7</v>
      </c>
      <c r="E171" s="3">
        <f>D171*'Исходные данные'!$D$2</f>
        <v>1.2250710000000002E-7</v>
      </c>
      <c r="F171" s="65"/>
      <c r="G171" s="68"/>
    </row>
    <row r="172" spans="1:7" ht="31.2" x14ac:dyDescent="0.3">
      <c r="A172" s="16"/>
      <c r="B172" s="19" t="str">
        <f t="shared" ref="B172:D173" si="0">B10</f>
        <v>Детали стальных трубчатых лесов, укомплектованные пробками, крючками и хомутами, окрашенные</v>
      </c>
      <c r="C172" s="1" t="str">
        <f t="shared" si="0"/>
        <v>т</v>
      </c>
      <c r="D172" s="3">
        <f t="shared" si="0"/>
        <v>4.7641650000000014E-7</v>
      </c>
      <c r="E172" s="3">
        <f>D172*'Исходные данные'!$D$2</f>
        <v>4.7641650000000014E-7</v>
      </c>
      <c r="F172" s="65"/>
      <c r="G172" s="68"/>
    </row>
    <row r="173" spans="1:7" ht="15.6" x14ac:dyDescent="0.3">
      <c r="A173" s="16"/>
      <c r="B173" s="19" t="str">
        <f t="shared" si="0"/>
        <v>Щиты настила</v>
      </c>
      <c r="C173" s="1" t="str">
        <f t="shared" si="0"/>
        <v>м2</v>
      </c>
      <c r="D173" s="3">
        <f t="shared" si="0"/>
        <v>4.6280460000000009E-5</v>
      </c>
      <c r="E173" s="3">
        <f>D173*'Исходные данные'!$D$2</f>
        <v>4.6280460000000009E-5</v>
      </c>
      <c r="F173" s="65"/>
      <c r="G173" s="68"/>
    </row>
    <row r="174" spans="1:7" ht="15.6" x14ac:dyDescent="0.3">
      <c r="A174" s="16"/>
      <c r="B174" s="18" t="s">
        <v>88</v>
      </c>
      <c r="C174" s="2"/>
      <c r="D174" s="3"/>
      <c r="E174" s="3"/>
      <c r="F174" s="65"/>
      <c r="G174" s="68"/>
    </row>
    <row r="175" spans="1:7" ht="15.6" x14ac:dyDescent="0.3">
      <c r="A175" s="16"/>
      <c r="B175" s="17" t="s">
        <v>90</v>
      </c>
      <c r="C175" s="2"/>
      <c r="D175" s="3"/>
      <c r="E175" s="3"/>
      <c r="F175" s="66"/>
      <c r="G175" s="69"/>
    </row>
    <row r="176" spans="1:7" ht="15.6" x14ac:dyDescent="0.3">
      <c r="A176" s="52" t="s">
        <v>60</v>
      </c>
      <c r="B176" s="53"/>
      <c r="C176" s="53"/>
      <c r="D176" s="53"/>
      <c r="E176" s="53"/>
      <c r="F176" s="53"/>
      <c r="G176" s="54"/>
    </row>
    <row r="177" spans="1:7" ht="31.2" x14ac:dyDescent="0.3">
      <c r="A177" s="16">
        <v>1</v>
      </c>
      <c r="B177" s="2" t="s">
        <v>149</v>
      </c>
      <c r="C177" s="1" t="s">
        <v>29</v>
      </c>
      <c r="D177" s="80">
        <f>'Исходные данные'!D19</f>
        <v>1</v>
      </c>
      <c r="E177" s="81"/>
      <c r="F177" s="64"/>
      <c r="G177" s="67" t="s">
        <v>148</v>
      </c>
    </row>
    <row r="178" spans="1:7" ht="15.6" x14ac:dyDescent="0.3">
      <c r="A178" s="16"/>
      <c r="B178" s="18" t="s">
        <v>87</v>
      </c>
      <c r="C178" s="1"/>
      <c r="D178" s="80"/>
      <c r="E178" s="81"/>
      <c r="F178" s="65"/>
      <c r="G178" s="68"/>
    </row>
    <row r="179" spans="1:7" ht="15.6" x14ac:dyDescent="0.3">
      <c r="A179" s="16"/>
      <c r="B179" s="19" t="s">
        <v>16</v>
      </c>
      <c r="C179" s="1" t="s">
        <v>3</v>
      </c>
      <c r="D179" s="82">
        <f>(25.47*2/1000)*D177</f>
        <v>5.0939999999999999E-2</v>
      </c>
      <c r="E179" s="83"/>
      <c r="F179" s="65"/>
      <c r="G179" s="68"/>
    </row>
    <row r="180" spans="1:7" ht="15.6" x14ac:dyDescent="0.3">
      <c r="A180" s="16"/>
      <c r="B180" s="19" t="s">
        <v>150</v>
      </c>
      <c r="C180" s="1" t="s">
        <v>3</v>
      </c>
      <c r="D180" s="82">
        <f>0.005*D177</f>
        <v>5.0000000000000001E-3</v>
      </c>
      <c r="E180" s="83"/>
      <c r="F180" s="65"/>
      <c r="G180" s="68"/>
    </row>
    <row r="181" spans="1:7" ht="15.6" x14ac:dyDescent="0.3">
      <c r="A181" s="16"/>
      <c r="B181" s="18" t="s">
        <v>88</v>
      </c>
      <c r="C181" s="2"/>
      <c r="D181" s="84"/>
      <c r="E181" s="85"/>
      <c r="F181" s="65"/>
      <c r="G181" s="68"/>
    </row>
    <row r="182" spans="1:7" ht="31.2" x14ac:dyDescent="0.3">
      <c r="A182" s="16"/>
      <c r="B182" s="19" t="s">
        <v>152</v>
      </c>
      <c r="C182" s="1"/>
      <c r="D182" s="82"/>
      <c r="E182" s="83"/>
      <c r="F182" s="65"/>
      <c r="G182" s="68"/>
    </row>
    <row r="183" spans="1:7" ht="46.8" x14ac:dyDescent="0.3">
      <c r="A183" s="16"/>
      <c r="B183" s="19" t="s">
        <v>115</v>
      </c>
      <c r="C183" s="1"/>
      <c r="D183" s="82"/>
      <c r="E183" s="83"/>
      <c r="F183" s="65"/>
      <c r="G183" s="68"/>
    </row>
    <row r="184" spans="1:7" ht="15.6" x14ac:dyDescent="0.3">
      <c r="A184" s="16"/>
      <c r="B184" s="19" t="s">
        <v>153</v>
      </c>
      <c r="C184" s="1"/>
      <c r="D184" s="82"/>
      <c r="E184" s="83"/>
      <c r="F184" s="66"/>
      <c r="G184" s="69"/>
    </row>
    <row r="185" spans="1:7" ht="46.8" x14ac:dyDescent="0.3">
      <c r="A185" s="16">
        <v>2</v>
      </c>
      <c r="B185" s="19" t="s">
        <v>171</v>
      </c>
      <c r="C185" s="2" t="s">
        <v>158</v>
      </c>
      <c r="D185" s="80">
        <f>9/100</f>
        <v>0.09</v>
      </c>
      <c r="E185" s="81"/>
      <c r="F185" s="64"/>
      <c r="G185" s="67" t="s">
        <v>170</v>
      </c>
    </row>
    <row r="186" spans="1:7" ht="15.6" x14ac:dyDescent="0.3">
      <c r="A186" s="16"/>
      <c r="B186" s="18" t="s">
        <v>87</v>
      </c>
      <c r="C186" s="1"/>
      <c r="D186" s="80"/>
      <c r="E186" s="81"/>
      <c r="F186" s="65"/>
      <c r="G186" s="68"/>
    </row>
    <row r="187" spans="1:7" ht="15.6" x14ac:dyDescent="0.3">
      <c r="A187" s="16"/>
      <c r="B187" s="19" t="s">
        <v>16</v>
      </c>
      <c r="C187" s="1" t="s">
        <v>3</v>
      </c>
      <c r="D187" s="82">
        <f>0.006*D185</f>
        <v>5.4000000000000001E-4</v>
      </c>
      <c r="E187" s="83"/>
      <c r="F187" s="65"/>
      <c r="G187" s="68"/>
    </row>
    <row r="188" spans="1:7" ht="15.6" x14ac:dyDescent="0.3">
      <c r="A188" s="16"/>
      <c r="B188" s="19" t="s">
        <v>150</v>
      </c>
      <c r="C188" s="1" t="s">
        <v>3</v>
      </c>
      <c r="D188" s="80">
        <f>0.09*D185</f>
        <v>8.0999999999999996E-3</v>
      </c>
      <c r="E188" s="81"/>
      <c r="F188" s="65"/>
      <c r="G188" s="68"/>
    </row>
    <row r="189" spans="1:7" ht="15.6" x14ac:dyDescent="0.3">
      <c r="A189" s="16"/>
      <c r="B189" s="18" t="s">
        <v>88</v>
      </c>
      <c r="C189" s="1"/>
      <c r="D189" s="80"/>
      <c r="E189" s="81"/>
      <c r="F189" s="65"/>
      <c r="G189" s="68"/>
    </row>
    <row r="190" spans="1:7" ht="31.2" x14ac:dyDescent="0.3">
      <c r="A190" s="16"/>
      <c r="B190" s="19" t="s">
        <v>155</v>
      </c>
      <c r="C190" s="1"/>
      <c r="D190" s="80"/>
      <c r="E190" s="81"/>
      <c r="F190" s="65"/>
      <c r="G190" s="68"/>
    </row>
    <row r="191" spans="1:7" ht="31.2" x14ac:dyDescent="0.3">
      <c r="A191" s="16"/>
      <c r="B191" s="19" t="s">
        <v>156</v>
      </c>
      <c r="C191" s="1"/>
      <c r="D191" s="80"/>
      <c r="E191" s="81"/>
      <c r="F191" s="65"/>
      <c r="G191" s="68"/>
    </row>
    <row r="192" spans="1:7" ht="15.6" x14ac:dyDescent="0.3">
      <c r="A192" s="16"/>
      <c r="B192" s="19" t="s">
        <v>157</v>
      </c>
      <c r="C192" s="1"/>
      <c r="D192" s="80"/>
      <c r="E192" s="81"/>
      <c r="F192" s="66"/>
      <c r="G192" s="69"/>
    </row>
    <row r="193" spans="1:7" ht="31.8" thickBot="1" x14ac:dyDescent="0.35">
      <c r="A193" s="22">
        <v>3</v>
      </c>
      <c r="B193" s="23" t="s">
        <v>12</v>
      </c>
      <c r="C193" s="24" t="s">
        <v>159</v>
      </c>
      <c r="D193" s="77">
        <f>('Исходные данные'!D19+'Исходные данные'!D2)/100</f>
        <v>0.02</v>
      </c>
      <c r="E193" s="78"/>
      <c r="F193" s="25"/>
      <c r="G193" s="26" t="s">
        <v>160</v>
      </c>
    </row>
    <row r="194" spans="1:7" ht="15.6" x14ac:dyDescent="0.3">
      <c r="A194" s="27"/>
      <c r="B194" s="28"/>
      <c r="C194" s="27"/>
      <c r="D194" s="29"/>
      <c r="E194" s="29"/>
      <c r="F194" s="28"/>
      <c r="G194" s="27"/>
    </row>
    <row r="195" spans="1:7" ht="15.6" x14ac:dyDescent="0.3">
      <c r="A195" s="21"/>
      <c r="B195" s="21"/>
      <c r="C195" s="79" t="s">
        <v>79</v>
      </c>
      <c r="D195" s="79"/>
      <c r="E195" s="30"/>
      <c r="F195" s="31" t="s">
        <v>13</v>
      </c>
      <c r="G195" s="27"/>
    </row>
    <row r="196" spans="1:7" ht="15.6" x14ac:dyDescent="0.3">
      <c r="A196" s="21"/>
      <c r="B196" s="21"/>
      <c r="C196" s="21"/>
      <c r="D196" s="21"/>
      <c r="E196" s="21"/>
      <c r="F196" s="21"/>
      <c r="G196" s="27"/>
    </row>
    <row r="197" spans="1:7" ht="15.6" x14ac:dyDescent="0.3">
      <c r="A197" s="21"/>
      <c r="B197" s="21"/>
      <c r="C197" s="79" t="s">
        <v>44</v>
      </c>
      <c r="D197" s="79"/>
      <c r="E197" s="30"/>
      <c r="F197" s="32" t="s">
        <v>45</v>
      </c>
      <c r="G197" s="27"/>
    </row>
    <row r="198" spans="1:7" ht="15.6" x14ac:dyDescent="0.3">
      <c r="A198" s="21"/>
      <c r="B198" s="21"/>
      <c r="C198" s="21"/>
      <c r="D198" s="21"/>
      <c r="E198" s="21"/>
      <c r="F198" s="33"/>
      <c r="G198" s="27"/>
    </row>
    <row r="199" spans="1:7" x14ac:dyDescent="0.3">
      <c r="A199" s="34"/>
      <c r="B199" s="34"/>
      <c r="C199" s="34"/>
      <c r="D199" s="34"/>
      <c r="E199" s="34"/>
      <c r="F199" s="35"/>
    </row>
    <row r="200" spans="1:7" x14ac:dyDescent="0.3">
      <c r="A200" s="36"/>
      <c r="B200" s="36"/>
      <c r="C200" s="36"/>
      <c r="D200" s="36"/>
      <c r="E200" s="36"/>
      <c r="F200" s="36"/>
      <c r="G200" s="36"/>
    </row>
    <row r="201" spans="1:7" x14ac:dyDescent="0.3">
      <c r="A201" s="36"/>
      <c r="B201" s="36"/>
      <c r="C201" s="36"/>
      <c r="D201" s="36"/>
      <c r="E201" s="36"/>
      <c r="F201" s="36"/>
      <c r="G201" s="36"/>
    </row>
    <row r="202" spans="1:7" x14ac:dyDescent="0.3">
      <c r="A202" s="36"/>
      <c r="B202" s="36"/>
      <c r="C202" s="36"/>
      <c r="D202" s="36"/>
      <c r="E202" s="36"/>
      <c r="F202" s="36"/>
      <c r="G202" s="36"/>
    </row>
    <row r="203" spans="1:7" x14ac:dyDescent="0.3">
      <c r="A203" s="36"/>
      <c r="B203" s="36"/>
      <c r="C203" s="36"/>
      <c r="D203" s="36"/>
      <c r="E203" s="36"/>
      <c r="F203" s="36"/>
      <c r="G203" s="36"/>
    </row>
    <row r="204" spans="1:7" x14ac:dyDescent="0.3">
      <c r="A204" s="36"/>
      <c r="B204" s="36"/>
      <c r="C204" s="36"/>
      <c r="D204" s="36"/>
      <c r="E204" s="36"/>
      <c r="F204" s="36"/>
      <c r="G204" s="36"/>
    </row>
    <row r="205" spans="1:7" x14ac:dyDescent="0.3">
      <c r="A205" s="36"/>
      <c r="B205" s="36"/>
      <c r="C205" s="36"/>
      <c r="D205" s="36"/>
      <c r="E205" s="36"/>
      <c r="F205" s="36"/>
      <c r="G205" s="36"/>
    </row>
    <row r="206" spans="1:7" x14ac:dyDescent="0.3">
      <c r="A206" s="36"/>
      <c r="B206" s="36"/>
      <c r="C206" s="36"/>
      <c r="D206" s="36"/>
      <c r="E206" s="36"/>
      <c r="F206" s="36"/>
      <c r="G206" s="36"/>
    </row>
    <row r="207" spans="1:7" x14ac:dyDescent="0.3">
      <c r="A207" s="36"/>
      <c r="B207" s="36"/>
      <c r="C207" s="36"/>
      <c r="D207" s="36"/>
      <c r="E207" s="36"/>
      <c r="F207" s="36"/>
      <c r="G207" s="36"/>
    </row>
    <row r="208" spans="1:7" x14ac:dyDescent="0.3">
      <c r="A208" s="34"/>
      <c r="B208" s="34"/>
      <c r="C208" s="34"/>
      <c r="D208" s="34"/>
      <c r="E208" s="34"/>
      <c r="F208" s="35"/>
    </row>
    <row r="209" spans="1:6" x14ac:dyDescent="0.3">
      <c r="A209" s="34"/>
      <c r="B209" s="34"/>
      <c r="C209" s="34"/>
      <c r="D209" s="34"/>
      <c r="E209" s="34"/>
      <c r="F209" s="35"/>
    </row>
    <row r="210" spans="1:6" x14ac:dyDescent="0.3">
      <c r="A210" s="34"/>
      <c r="B210" s="34"/>
      <c r="C210" s="34"/>
      <c r="D210" s="34"/>
      <c r="E210" s="34"/>
      <c r="F210" s="35"/>
    </row>
    <row r="211" spans="1:6" x14ac:dyDescent="0.3">
      <c r="A211" s="34"/>
      <c r="B211" s="34"/>
      <c r="C211" s="34"/>
      <c r="D211" s="34"/>
      <c r="E211" s="34"/>
      <c r="F211" s="35"/>
    </row>
    <row r="212" spans="1:6" x14ac:dyDescent="0.3">
      <c r="A212" s="34"/>
      <c r="B212" s="34"/>
      <c r="C212" s="34"/>
      <c r="D212" s="34"/>
      <c r="E212" s="34"/>
      <c r="F212" s="35"/>
    </row>
    <row r="213" spans="1:6" x14ac:dyDescent="0.3">
      <c r="A213" s="34"/>
      <c r="B213" s="34"/>
      <c r="C213" s="34"/>
      <c r="D213" s="34"/>
      <c r="E213" s="34"/>
      <c r="F213" s="35"/>
    </row>
    <row r="214" spans="1:6" x14ac:dyDescent="0.3">
      <c r="A214" s="34"/>
      <c r="B214" s="34"/>
      <c r="C214" s="34"/>
      <c r="D214" s="34"/>
      <c r="E214" s="34"/>
      <c r="F214" s="35"/>
    </row>
    <row r="215" spans="1:6" x14ac:dyDescent="0.3">
      <c r="A215" s="34"/>
      <c r="B215" s="34"/>
      <c r="C215" s="34"/>
      <c r="D215" s="34"/>
      <c r="E215" s="34"/>
      <c r="F215" s="35"/>
    </row>
    <row r="216" spans="1:6" x14ac:dyDescent="0.3">
      <c r="A216" s="34"/>
      <c r="B216" s="34"/>
      <c r="C216" s="34"/>
      <c r="D216" s="34"/>
      <c r="E216" s="34"/>
      <c r="F216" s="35"/>
    </row>
    <row r="217" spans="1:6" x14ac:dyDescent="0.3">
      <c r="A217" s="34"/>
      <c r="B217" s="34"/>
      <c r="C217" s="34"/>
      <c r="D217" s="34"/>
      <c r="E217" s="34"/>
      <c r="F217" s="35"/>
    </row>
    <row r="218" spans="1:6" x14ac:dyDescent="0.3">
      <c r="A218" s="34"/>
      <c r="B218" s="34"/>
      <c r="C218" s="34"/>
      <c r="D218" s="34"/>
      <c r="E218" s="34"/>
      <c r="F218" s="35"/>
    </row>
    <row r="219" spans="1:6" x14ac:dyDescent="0.3">
      <c r="A219" s="34"/>
      <c r="B219" s="34"/>
      <c r="C219" s="34"/>
      <c r="D219" s="34"/>
      <c r="E219" s="34"/>
      <c r="F219" s="35"/>
    </row>
    <row r="220" spans="1:6" x14ac:dyDescent="0.3">
      <c r="A220" s="34"/>
      <c r="B220" s="34"/>
      <c r="C220" s="34"/>
      <c r="D220" s="34"/>
      <c r="E220" s="34"/>
      <c r="F220" s="35"/>
    </row>
    <row r="221" spans="1:6" x14ac:dyDescent="0.3">
      <c r="A221" s="34"/>
      <c r="B221" s="34"/>
      <c r="C221" s="34"/>
      <c r="D221" s="34"/>
      <c r="E221" s="34"/>
      <c r="F221" s="35"/>
    </row>
    <row r="222" spans="1:6" x14ac:dyDescent="0.3">
      <c r="A222" s="34"/>
      <c r="B222" s="34"/>
      <c r="C222" s="34"/>
      <c r="D222" s="34"/>
      <c r="E222" s="34"/>
      <c r="F222" s="35"/>
    </row>
    <row r="223" spans="1:6" x14ac:dyDescent="0.3">
      <c r="A223" s="34"/>
      <c r="B223" s="34"/>
      <c r="C223" s="34"/>
      <c r="D223" s="34"/>
      <c r="E223" s="34"/>
      <c r="F223" s="35"/>
    </row>
    <row r="224" spans="1:6" x14ac:dyDescent="0.3">
      <c r="A224" s="34"/>
      <c r="B224" s="34"/>
      <c r="C224" s="34"/>
      <c r="D224" s="34"/>
      <c r="E224" s="34"/>
      <c r="F224" s="35"/>
    </row>
    <row r="225" spans="1:6" x14ac:dyDescent="0.3">
      <c r="A225" s="34"/>
      <c r="B225" s="34"/>
      <c r="C225" s="34"/>
      <c r="D225" s="34"/>
      <c r="E225" s="34"/>
      <c r="F225" s="35"/>
    </row>
    <row r="226" spans="1:6" x14ac:dyDescent="0.3">
      <c r="A226" s="34"/>
      <c r="B226" s="34"/>
      <c r="C226" s="34"/>
      <c r="D226" s="34"/>
      <c r="E226" s="34"/>
      <c r="F226" s="35"/>
    </row>
    <row r="227" spans="1:6" x14ac:dyDescent="0.3">
      <c r="A227" s="34"/>
      <c r="B227" s="34"/>
      <c r="C227" s="34"/>
      <c r="D227" s="34"/>
      <c r="E227" s="34"/>
      <c r="F227" s="35"/>
    </row>
    <row r="228" spans="1:6" x14ac:dyDescent="0.3">
      <c r="A228" s="34"/>
      <c r="B228" s="34"/>
      <c r="C228" s="34"/>
      <c r="D228" s="34"/>
      <c r="E228" s="34"/>
      <c r="F228" s="35"/>
    </row>
    <row r="229" spans="1:6" x14ac:dyDescent="0.3">
      <c r="A229" s="34"/>
      <c r="B229" s="34"/>
      <c r="C229" s="34"/>
      <c r="D229" s="34"/>
      <c r="E229" s="34"/>
      <c r="F229" s="35"/>
    </row>
    <row r="230" spans="1:6" x14ac:dyDescent="0.3">
      <c r="A230" s="34"/>
      <c r="B230" s="34"/>
      <c r="C230" s="34"/>
      <c r="D230" s="34"/>
      <c r="E230" s="34"/>
      <c r="F230" s="35"/>
    </row>
    <row r="231" spans="1:6" x14ac:dyDescent="0.3">
      <c r="A231" s="34"/>
      <c r="B231" s="34"/>
      <c r="C231" s="34"/>
      <c r="D231" s="34"/>
      <c r="E231" s="34"/>
      <c r="F231" s="35"/>
    </row>
    <row r="232" spans="1:6" x14ac:dyDescent="0.3">
      <c r="A232" s="34"/>
      <c r="B232" s="34"/>
      <c r="C232" s="34"/>
      <c r="D232" s="34"/>
      <c r="E232" s="34"/>
      <c r="F232" s="35"/>
    </row>
    <row r="233" spans="1:6" x14ac:dyDescent="0.3">
      <c r="A233" s="34"/>
      <c r="B233" s="34"/>
      <c r="C233" s="34"/>
      <c r="D233" s="34"/>
      <c r="E233" s="34"/>
      <c r="F233" s="35"/>
    </row>
    <row r="234" spans="1:6" x14ac:dyDescent="0.3">
      <c r="A234" s="34"/>
      <c r="B234" s="34"/>
      <c r="C234" s="34"/>
      <c r="D234" s="34"/>
      <c r="E234" s="34"/>
      <c r="F234" s="35"/>
    </row>
    <row r="235" spans="1:6" x14ac:dyDescent="0.3">
      <c r="A235" s="34"/>
      <c r="B235" s="34"/>
      <c r="C235" s="34"/>
      <c r="D235" s="34"/>
      <c r="E235" s="34"/>
      <c r="F235" s="35"/>
    </row>
    <row r="236" spans="1:6" x14ac:dyDescent="0.3">
      <c r="A236" s="34"/>
      <c r="B236" s="34"/>
      <c r="C236" s="34"/>
      <c r="D236" s="34"/>
      <c r="E236" s="34"/>
      <c r="F236" s="35"/>
    </row>
    <row r="237" spans="1:6" x14ac:dyDescent="0.3">
      <c r="A237" s="34"/>
      <c r="B237" s="34"/>
      <c r="C237" s="34"/>
      <c r="D237" s="34"/>
      <c r="E237" s="34"/>
      <c r="F237" s="35"/>
    </row>
    <row r="238" spans="1:6" x14ac:dyDescent="0.3">
      <c r="A238" s="34"/>
      <c r="B238" s="34"/>
      <c r="C238" s="34"/>
      <c r="D238" s="34"/>
      <c r="E238" s="34"/>
      <c r="F238" s="35"/>
    </row>
    <row r="239" spans="1:6" x14ac:dyDescent="0.3">
      <c r="A239" s="34"/>
      <c r="B239" s="34"/>
      <c r="C239" s="34"/>
      <c r="D239" s="34"/>
      <c r="E239" s="34"/>
      <c r="F239" s="35"/>
    </row>
    <row r="240" spans="1:6" x14ac:dyDescent="0.3">
      <c r="A240" s="34"/>
      <c r="B240" s="34"/>
      <c r="C240" s="34"/>
      <c r="D240" s="34"/>
      <c r="E240" s="34"/>
      <c r="F240" s="35"/>
    </row>
    <row r="241" spans="1:6" x14ac:dyDescent="0.3">
      <c r="A241" s="34"/>
      <c r="B241" s="34"/>
      <c r="C241" s="34"/>
      <c r="D241" s="34"/>
      <c r="E241" s="34"/>
      <c r="F241" s="35"/>
    </row>
    <row r="242" spans="1:6" x14ac:dyDescent="0.3">
      <c r="A242" s="34"/>
      <c r="B242" s="34"/>
      <c r="C242" s="34"/>
      <c r="D242" s="34"/>
      <c r="E242" s="34"/>
      <c r="F242" s="35"/>
    </row>
    <row r="243" spans="1:6" x14ac:dyDescent="0.3">
      <c r="A243" s="34"/>
      <c r="B243" s="34"/>
      <c r="C243" s="34"/>
      <c r="D243" s="34"/>
      <c r="E243" s="34"/>
      <c r="F243" s="35"/>
    </row>
    <row r="244" spans="1:6" x14ac:dyDescent="0.3">
      <c r="A244" s="34"/>
      <c r="B244" s="34"/>
      <c r="C244" s="34"/>
      <c r="D244" s="34"/>
      <c r="E244" s="34"/>
      <c r="F244" s="35"/>
    </row>
    <row r="245" spans="1:6" x14ac:dyDescent="0.3">
      <c r="A245" s="34"/>
      <c r="B245" s="34"/>
      <c r="C245" s="34"/>
      <c r="D245" s="34"/>
      <c r="E245" s="34"/>
      <c r="F245" s="35"/>
    </row>
    <row r="246" spans="1:6" x14ac:dyDescent="0.3">
      <c r="A246" s="34"/>
      <c r="B246" s="34"/>
      <c r="C246" s="34"/>
      <c r="D246" s="34"/>
      <c r="E246" s="34"/>
      <c r="F246" s="35"/>
    </row>
    <row r="247" spans="1:6" x14ac:dyDescent="0.3">
      <c r="A247" s="34"/>
      <c r="B247" s="34"/>
      <c r="C247" s="34"/>
      <c r="D247" s="34"/>
      <c r="E247" s="34"/>
      <c r="F247" s="35"/>
    </row>
    <row r="248" spans="1:6" x14ac:dyDescent="0.3">
      <c r="A248" s="34"/>
      <c r="B248" s="34"/>
      <c r="C248" s="34"/>
      <c r="D248" s="34"/>
      <c r="E248" s="34"/>
      <c r="F248" s="35"/>
    </row>
    <row r="249" spans="1:6" x14ac:dyDescent="0.3">
      <c r="A249" s="34"/>
      <c r="B249" s="34"/>
      <c r="C249" s="34"/>
      <c r="D249" s="34"/>
      <c r="E249" s="34"/>
      <c r="F249" s="35"/>
    </row>
    <row r="250" spans="1:6" x14ac:dyDescent="0.3">
      <c r="A250" s="34"/>
      <c r="B250" s="34"/>
      <c r="C250" s="34"/>
      <c r="D250" s="34"/>
      <c r="E250" s="34"/>
      <c r="F250" s="35"/>
    </row>
    <row r="251" spans="1:6" x14ac:dyDescent="0.3">
      <c r="A251" s="34"/>
      <c r="B251" s="34"/>
      <c r="C251" s="34"/>
      <c r="D251" s="34"/>
      <c r="E251" s="34"/>
      <c r="F251" s="35"/>
    </row>
    <row r="252" spans="1:6" x14ac:dyDescent="0.3">
      <c r="A252" s="34"/>
      <c r="B252" s="34"/>
      <c r="C252" s="34"/>
      <c r="D252" s="34"/>
      <c r="E252" s="34"/>
      <c r="F252" s="35"/>
    </row>
    <row r="253" spans="1:6" x14ac:dyDescent="0.3">
      <c r="A253" s="34"/>
      <c r="B253" s="34"/>
      <c r="C253" s="34"/>
      <c r="D253" s="34"/>
      <c r="E253" s="34"/>
      <c r="F253" s="35"/>
    </row>
    <row r="254" spans="1:6" x14ac:dyDescent="0.3">
      <c r="A254" s="34"/>
      <c r="B254" s="34"/>
      <c r="C254" s="34"/>
      <c r="D254" s="34"/>
      <c r="E254" s="34"/>
      <c r="F254" s="35"/>
    </row>
    <row r="255" spans="1:6" x14ac:dyDescent="0.3">
      <c r="A255" s="34"/>
      <c r="B255" s="34"/>
      <c r="C255" s="34"/>
      <c r="D255" s="34"/>
      <c r="E255" s="34"/>
      <c r="F255" s="35"/>
    </row>
    <row r="256" spans="1:6" x14ac:dyDescent="0.3">
      <c r="A256" s="34"/>
      <c r="B256" s="34"/>
      <c r="C256" s="34"/>
      <c r="D256" s="34"/>
      <c r="E256" s="34"/>
      <c r="F256" s="35"/>
    </row>
    <row r="257" spans="1:6" x14ac:dyDescent="0.3">
      <c r="A257" s="34"/>
      <c r="B257" s="34"/>
      <c r="C257" s="34"/>
      <c r="D257" s="34"/>
      <c r="E257" s="34"/>
      <c r="F257" s="35"/>
    </row>
    <row r="258" spans="1:6" x14ac:dyDescent="0.3">
      <c r="A258" s="34"/>
      <c r="B258" s="34"/>
      <c r="C258" s="34"/>
      <c r="D258" s="34"/>
      <c r="E258" s="34"/>
      <c r="F258" s="35"/>
    </row>
    <row r="259" spans="1:6" x14ac:dyDescent="0.3">
      <c r="A259" s="34"/>
      <c r="B259" s="34"/>
      <c r="C259" s="34"/>
      <c r="D259" s="34"/>
      <c r="E259" s="34"/>
      <c r="F259" s="35"/>
    </row>
    <row r="260" spans="1:6" x14ac:dyDescent="0.3">
      <c r="A260" s="34"/>
      <c r="B260" s="34"/>
      <c r="C260" s="34"/>
      <c r="D260" s="34"/>
      <c r="E260" s="34"/>
      <c r="F260" s="35"/>
    </row>
    <row r="261" spans="1:6" x14ac:dyDescent="0.3">
      <c r="A261" s="34"/>
      <c r="B261" s="34"/>
      <c r="C261" s="34"/>
      <c r="D261" s="34"/>
      <c r="E261" s="34"/>
      <c r="F261" s="35"/>
    </row>
    <row r="262" spans="1:6" x14ac:dyDescent="0.3">
      <c r="A262" s="34"/>
      <c r="B262" s="34"/>
      <c r="C262" s="34"/>
      <c r="D262" s="34"/>
      <c r="E262" s="34"/>
      <c r="F262" s="35"/>
    </row>
    <row r="263" spans="1:6" x14ac:dyDescent="0.3">
      <c r="A263" s="34"/>
      <c r="B263" s="34"/>
      <c r="C263" s="34"/>
      <c r="D263" s="34"/>
      <c r="E263" s="34"/>
      <c r="F263" s="35"/>
    </row>
    <row r="264" spans="1:6" x14ac:dyDescent="0.3">
      <c r="A264" s="34"/>
      <c r="B264" s="34"/>
      <c r="C264" s="34"/>
      <c r="D264" s="34"/>
      <c r="E264" s="34"/>
      <c r="F264" s="35"/>
    </row>
    <row r="265" spans="1:6" x14ac:dyDescent="0.3">
      <c r="A265" s="34"/>
      <c r="B265" s="34"/>
      <c r="C265" s="34"/>
      <c r="D265" s="34"/>
      <c r="E265" s="34"/>
      <c r="F265" s="35"/>
    </row>
    <row r="266" spans="1:6" x14ac:dyDescent="0.3">
      <c r="A266" s="34"/>
      <c r="B266" s="34"/>
      <c r="C266" s="34"/>
      <c r="D266" s="34"/>
      <c r="E266" s="34"/>
      <c r="F266" s="35"/>
    </row>
    <row r="267" spans="1:6" x14ac:dyDescent="0.3">
      <c r="A267" s="34"/>
      <c r="B267" s="34"/>
      <c r="C267" s="34"/>
      <c r="D267" s="34"/>
      <c r="E267" s="34"/>
      <c r="F267" s="35"/>
    </row>
    <row r="268" spans="1:6" x14ac:dyDescent="0.3">
      <c r="A268" s="34"/>
      <c r="B268" s="34"/>
      <c r="C268" s="34"/>
      <c r="D268" s="34"/>
      <c r="E268" s="34"/>
      <c r="F268" s="35"/>
    </row>
    <row r="269" spans="1:6" x14ac:dyDescent="0.3">
      <c r="A269" s="34"/>
      <c r="B269" s="34"/>
      <c r="C269" s="34"/>
      <c r="D269" s="34"/>
      <c r="E269" s="34"/>
      <c r="F269" s="35"/>
    </row>
    <row r="270" spans="1:6" x14ac:dyDescent="0.3">
      <c r="A270" s="34"/>
      <c r="B270" s="34"/>
      <c r="C270" s="34"/>
      <c r="D270" s="34"/>
      <c r="E270" s="34"/>
      <c r="F270" s="35"/>
    </row>
    <row r="271" spans="1:6" x14ac:dyDescent="0.3">
      <c r="A271" s="34"/>
      <c r="B271" s="34"/>
      <c r="C271" s="34"/>
      <c r="D271" s="34"/>
      <c r="E271" s="34"/>
      <c r="F271" s="35"/>
    </row>
    <row r="272" spans="1:6" x14ac:dyDescent="0.3">
      <c r="A272" s="34"/>
      <c r="B272" s="34"/>
      <c r="C272" s="34"/>
      <c r="D272" s="34"/>
      <c r="E272" s="34"/>
      <c r="F272" s="35"/>
    </row>
    <row r="273" spans="1:6" x14ac:dyDescent="0.3">
      <c r="A273" s="34"/>
      <c r="B273" s="34"/>
      <c r="C273" s="34"/>
      <c r="D273" s="34"/>
      <c r="E273" s="34"/>
      <c r="F273" s="35"/>
    </row>
    <row r="274" spans="1:6" x14ac:dyDescent="0.3">
      <c r="A274" s="34"/>
      <c r="B274" s="34"/>
      <c r="C274" s="34"/>
      <c r="D274" s="34"/>
      <c r="E274" s="34"/>
      <c r="F274" s="35"/>
    </row>
    <row r="275" spans="1:6" x14ac:dyDescent="0.3">
      <c r="A275" s="34"/>
      <c r="B275" s="34"/>
      <c r="C275" s="34"/>
      <c r="D275" s="34"/>
      <c r="E275" s="34"/>
      <c r="F275" s="35"/>
    </row>
    <row r="276" spans="1:6" x14ac:dyDescent="0.3">
      <c r="A276" s="34"/>
      <c r="B276" s="34"/>
      <c r="C276" s="34"/>
      <c r="D276" s="34"/>
      <c r="E276" s="34"/>
      <c r="F276" s="35"/>
    </row>
    <row r="277" spans="1:6" x14ac:dyDescent="0.3">
      <c r="A277" s="34"/>
      <c r="B277" s="34"/>
      <c r="C277" s="34"/>
      <c r="D277" s="34"/>
      <c r="E277" s="34"/>
      <c r="F277" s="35"/>
    </row>
    <row r="278" spans="1:6" x14ac:dyDescent="0.3">
      <c r="A278" s="34"/>
      <c r="B278" s="34"/>
      <c r="C278" s="34"/>
      <c r="D278" s="34"/>
      <c r="E278" s="34"/>
      <c r="F278" s="35"/>
    </row>
    <row r="279" spans="1:6" x14ac:dyDescent="0.3">
      <c r="A279" s="34"/>
      <c r="B279" s="34"/>
      <c r="C279" s="34"/>
      <c r="D279" s="34"/>
      <c r="E279" s="34"/>
      <c r="F279" s="35"/>
    </row>
    <row r="280" spans="1:6" x14ac:dyDescent="0.3">
      <c r="A280" s="34"/>
      <c r="B280" s="34"/>
      <c r="C280" s="34"/>
      <c r="D280" s="34"/>
      <c r="E280" s="34"/>
      <c r="F280" s="35"/>
    </row>
    <row r="281" spans="1:6" x14ac:dyDescent="0.3">
      <c r="A281" s="34"/>
      <c r="B281" s="34"/>
      <c r="C281" s="34"/>
      <c r="D281" s="34"/>
      <c r="E281" s="34"/>
      <c r="F281" s="35"/>
    </row>
    <row r="282" spans="1:6" x14ac:dyDescent="0.3">
      <c r="A282" s="34"/>
      <c r="B282" s="34"/>
      <c r="C282" s="34"/>
      <c r="D282" s="34"/>
      <c r="E282" s="34"/>
      <c r="F282" s="35"/>
    </row>
    <row r="283" spans="1:6" x14ac:dyDescent="0.3">
      <c r="A283" s="34"/>
      <c r="B283" s="34"/>
      <c r="C283" s="34"/>
      <c r="D283" s="34"/>
      <c r="E283" s="34"/>
      <c r="F283" s="35"/>
    </row>
    <row r="284" spans="1:6" x14ac:dyDescent="0.3">
      <c r="A284" s="34"/>
      <c r="B284" s="34"/>
      <c r="C284" s="34"/>
      <c r="D284" s="34"/>
      <c r="E284" s="34"/>
      <c r="F284" s="35"/>
    </row>
    <row r="285" spans="1:6" x14ac:dyDescent="0.3">
      <c r="A285" s="34"/>
      <c r="B285" s="34"/>
      <c r="C285" s="34"/>
      <c r="D285" s="34"/>
      <c r="E285" s="34"/>
      <c r="F285" s="35"/>
    </row>
    <row r="286" spans="1:6" x14ac:dyDescent="0.3">
      <c r="A286" s="34"/>
      <c r="B286" s="34"/>
      <c r="C286" s="34"/>
      <c r="D286" s="34"/>
      <c r="E286" s="34"/>
      <c r="F286" s="35"/>
    </row>
    <row r="287" spans="1:6" x14ac:dyDescent="0.3">
      <c r="A287" s="34"/>
      <c r="B287" s="34"/>
      <c r="C287" s="34"/>
      <c r="D287" s="34"/>
      <c r="E287" s="34"/>
      <c r="F287" s="35"/>
    </row>
    <row r="288" spans="1:6" x14ac:dyDescent="0.3">
      <c r="A288" s="34"/>
      <c r="B288" s="34"/>
      <c r="C288" s="34"/>
      <c r="D288" s="34"/>
      <c r="E288" s="34"/>
      <c r="F288" s="35"/>
    </row>
    <row r="289" spans="1:6" x14ac:dyDescent="0.3">
      <c r="A289" s="34"/>
      <c r="B289" s="34"/>
      <c r="C289" s="34"/>
      <c r="D289" s="34"/>
      <c r="E289" s="34"/>
      <c r="F289" s="35"/>
    </row>
    <row r="290" spans="1:6" x14ac:dyDescent="0.3">
      <c r="A290" s="34"/>
      <c r="B290" s="34"/>
      <c r="C290" s="34"/>
      <c r="D290" s="34"/>
      <c r="E290" s="34"/>
      <c r="F290" s="35"/>
    </row>
    <row r="291" spans="1:6" x14ac:dyDescent="0.3">
      <c r="A291" s="34"/>
      <c r="B291" s="34"/>
      <c r="C291" s="34"/>
      <c r="D291" s="34"/>
      <c r="E291" s="34"/>
      <c r="F291" s="35"/>
    </row>
    <row r="292" spans="1:6" x14ac:dyDescent="0.3">
      <c r="A292" s="34"/>
      <c r="B292" s="34"/>
      <c r="C292" s="34"/>
      <c r="D292" s="34"/>
      <c r="E292" s="34"/>
      <c r="F292" s="35"/>
    </row>
    <row r="293" spans="1:6" x14ac:dyDescent="0.3">
      <c r="A293" s="34"/>
      <c r="B293" s="34"/>
      <c r="C293" s="34"/>
      <c r="D293" s="34"/>
      <c r="E293" s="34"/>
      <c r="F293" s="35"/>
    </row>
    <row r="294" spans="1:6" x14ac:dyDescent="0.3">
      <c r="A294" s="34"/>
      <c r="B294" s="34"/>
      <c r="C294" s="34"/>
      <c r="D294" s="34"/>
      <c r="E294" s="34"/>
      <c r="F294" s="35"/>
    </row>
    <row r="295" spans="1:6" x14ac:dyDescent="0.3">
      <c r="A295" s="34"/>
      <c r="B295" s="34"/>
      <c r="C295" s="34"/>
      <c r="D295" s="34"/>
      <c r="E295" s="34"/>
      <c r="F295" s="35"/>
    </row>
    <row r="296" spans="1:6" x14ac:dyDescent="0.3">
      <c r="A296" s="34"/>
      <c r="B296" s="34"/>
      <c r="C296" s="34"/>
      <c r="D296" s="34"/>
      <c r="E296" s="34"/>
      <c r="F296" s="35"/>
    </row>
    <row r="297" spans="1:6" x14ac:dyDescent="0.3">
      <c r="A297" s="37"/>
      <c r="B297" s="37"/>
      <c r="C297" s="37"/>
      <c r="D297" s="37"/>
      <c r="E297" s="37"/>
      <c r="F297" s="38"/>
    </row>
    <row r="298" spans="1:6" x14ac:dyDescent="0.3">
      <c r="A298" s="37"/>
      <c r="B298" s="37"/>
      <c r="C298" s="37"/>
      <c r="D298" s="37"/>
      <c r="E298" s="37"/>
      <c r="F298" s="38"/>
    </row>
    <row r="299" spans="1:6" x14ac:dyDescent="0.3">
      <c r="A299" s="37"/>
      <c r="B299" s="37"/>
      <c r="C299" s="37"/>
      <c r="D299" s="37"/>
      <c r="E299" s="37"/>
      <c r="F299" s="38"/>
    </row>
    <row r="300" spans="1:6" x14ac:dyDescent="0.3">
      <c r="A300" s="37"/>
      <c r="B300" s="37"/>
      <c r="C300" s="37"/>
      <c r="D300" s="37"/>
      <c r="E300" s="37"/>
      <c r="F300" s="38"/>
    </row>
    <row r="301" spans="1:6" x14ac:dyDescent="0.3">
      <c r="A301" s="37"/>
      <c r="B301" s="37"/>
      <c r="C301" s="37"/>
      <c r="D301" s="37"/>
      <c r="E301" s="37"/>
      <c r="F301" s="38"/>
    </row>
    <row r="302" spans="1:6" x14ac:dyDescent="0.3">
      <c r="A302" s="37"/>
      <c r="B302" s="37"/>
      <c r="C302" s="37"/>
      <c r="D302" s="37"/>
      <c r="E302" s="37"/>
      <c r="F302" s="38"/>
    </row>
    <row r="303" spans="1:6" x14ac:dyDescent="0.3">
      <c r="A303" s="37"/>
      <c r="B303" s="37"/>
      <c r="C303" s="37"/>
      <c r="D303" s="37"/>
      <c r="E303" s="37"/>
      <c r="F303" s="38"/>
    </row>
    <row r="304" spans="1:6" x14ac:dyDescent="0.3">
      <c r="A304" s="37"/>
      <c r="B304" s="37"/>
      <c r="C304" s="37"/>
      <c r="D304" s="37"/>
      <c r="E304" s="37"/>
      <c r="F304" s="38"/>
    </row>
    <row r="305" spans="1:6" x14ac:dyDescent="0.3">
      <c r="A305" s="37"/>
      <c r="B305" s="37"/>
      <c r="C305" s="37"/>
      <c r="D305" s="37"/>
      <c r="E305" s="37"/>
      <c r="F305" s="38"/>
    </row>
    <row r="306" spans="1:6" x14ac:dyDescent="0.3">
      <c r="A306" s="37"/>
      <c r="B306" s="37"/>
      <c r="C306" s="37"/>
      <c r="D306" s="37"/>
      <c r="E306" s="37"/>
      <c r="F306" s="38"/>
    </row>
    <row r="307" spans="1:6" x14ac:dyDescent="0.3">
      <c r="A307" s="37"/>
      <c r="B307" s="37"/>
      <c r="C307" s="37"/>
      <c r="D307" s="37"/>
      <c r="E307" s="37"/>
      <c r="F307" s="38"/>
    </row>
    <row r="308" spans="1:6" x14ac:dyDescent="0.3">
      <c r="A308" s="37"/>
      <c r="B308" s="37"/>
      <c r="C308" s="37"/>
      <c r="D308" s="37"/>
      <c r="E308" s="37"/>
      <c r="F308" s="38"/>
    </row>
    <row r="309" spans="1:6" x14ac:dyDescent="0.3">
      <c r="A309" s="37"/>
      <c r="B309" s="37"/>
      <c r="C309" s="37"/>
      <c r="D309" s="37"/>
      <c r="E309" s="37"/>
      <c r="F309" s="38"/>
    </row>
    <row r="310" spans="1:6" x14ac:dyDescent="0.3">
      <c r="A310" s="37"/>
      <c r="B310" s="37"/>
      <c r="C310" s="37"/>
      <c r="D310" s="37"/>
      <c r="E310" s="37"/>
      <c r="F310" s="38"/>
    </row>
    <row r="311" spans="1:6" x14ac:dyDescent="0.3">
      <c r="A311" s="37"/>
      <c r="B311" s="37"/>
      <c r="C311" s="37"/>
      <c r="D311" s="37"/>
      <c r="E311" s="37"/>
      <c r="F311" s="38"/>
    </row>
    <row r="312" spans="1:6" x14ac:dyDescent="0.3">
      <c r="A312" s="37"/>
      <c r="B312" s="37"/>
      <c r="C312" s="37"/>
      <c r="D312" s="37"/>
      <c r="E312" s="37"/>
      <c r="F312" s="38"/>
    </row>
    <row r="313" spans="1:6" x14ac:dyDescent="0.3">
      <c r="A313" s="37"/>
      <c r="B313" s="37"/>
      <c r="C313" s="37"/>
      <c r="D313" s="37"/>
      <c r="E313" s="37"/>
      <c r="F313" s="38"/>
    </row>
    <row r="314" spans="1:6" x14ac:dyDescent="0.3">
      <c r="A314" s="37"/>
      <c r="B314" s="37"/>
      <c r="C314" s="37"/>
      <c r="D314" s="37"/>
      <c r="E314" s="37"/>
      <c r="F314" s="38"/>
    </row>
    <row r="315" spans="1:6" x14ac:dyDescent="0.3">
      <c r="A315" s="37"/>
      <c r="B315" s="37"/>
      <c r="C315" s="37"/>
      <c r="D315" s="37"/>
      <c r="E315" s="37"/>
      <c r="F315" s="38"/>
    </row>
    <row r="316" spans="1:6" x14ac:dyDescent="0.3">
      <c r="A316" s="37"/>
      <c r="B316" s="37"/>
      <c r="C316" s="37"/>
      <c r="D316" s="37"/>
      <c r="E316" s="37"/>
      <c r="F316" s="38"/>
    </row>
    <row r="317" spans="1:6" x14ac:dyDescent="0.3">
      <c r="A317" s="37"/>
      <c r="B317" s="37"/>
      <c r="C317" s="37"/>
      <c r="D317" s="37"/>
      <c r="E317" s="37"/>
      <c r="F317" s="38"/>
    </row>
    <row r="318" spans="1:6" x14ac:dyDescent="0.3">
      <c r="A318" s="37"/>
      <c r="B318" s="37"/>
      <c r="C318" s="37"/>
      <c r="D318" s="37"/>
      <c r="E318" s="37"/>
      <c r="F318" s="38"/>
    </row>
    <row r="319" spans="1:6" x14ac:dyDescent="0.3">
      <c r="A319" s="37"/>
      <c r="B319" s="37"/>
      <c r="C319" s="37"/>
      <c r="D319" s="37"/>
      <c r="E319" s="37"/>
      <c r="F319" s="38"/>
    </row>
    <row r="320" spans="1:6" x14ac:dyDescent="0.3">
      <c r="A320" s="37"/>
      <c r="B320" s="37"/>
      <c r="C320" s="37"/>
      <c r="D320" s="37"/>
      <c r="E320" s="37"/>
      <c r="F320" s="38"/>
    </row>
    <row r="321" spans="1:6" x14ac:dyDescent="0.3">
      <c r="A321" s="37"/>
      <c r="B321" s="37"/>
      <c r="C321" s="37"/>
      <c r="D321" s="37"/>
      <c r="E321" s="37"/>
      <c r="F321" s="38"/>
    </row>
    <row r="322" spans="1:6" x14ac:dyDescent="0.3">
      <c r="A322" s="37"/>
      <c r="B322" s="37"/>
      <c r="C322" s="37"/>
      <c r="D322" s="37"/>
      <c r="E322" s="37"/>
      <c r="F322" s="38"/>
    </row>
    <row r="323" spans="1:6" x14ac:dyDescent="0.3">
      <c r="A323" s="37"/>
      <c r="B323" s="37"/>
      <c r="C323" s="37"/>
      <c r="D323" s="37"/>
      <c r="E323" s="37"/>
      <c r="F323" s="38"/>
    </row>
    <row r="324" spans="1:6" x14ac:dyDescent="0.3">
      <c r="A324" s="37"/>
      <c r="B324" s="37"/>
      <c r="C324" s="37"/>
      <c r="D324" s="37"/>
      <c r="E324" s="37"/>
      <c r="F324" s="38"/>
    </row>
    <row r="325" spans="1:6" x14ac:dyDescent="0.3">
      <c r="A325" s="37"/>
      <c r="B325" s="37"/>
      <c r="C325" s="37"/>
      <c r="D325" s="37"/>
      <c r="E325" s="37"/>
      <c r="F325" s="38"/>
    </row>
    <row r="326" spans="1:6" x14ac:dyDescent="0.3">
      <c r="A326" s="37"/>
      <c r="B326" s="37"/>
      <c r="C326" s="37"/>
      <c r="D326" s="37"/>
      <c r="E326" s="37"/>
      <c r="F326" s="38"/>
    </row>
    <row r="327" spans="1:6" x14ac:dyDescent="0.3">
      <c r="A327" s="37"/>
      <c r="B327" s="37"/>
      <c r="C327" s="37"/>
      <c r="D327" s="37"/>
      <c r="E327" s="37"/>
      <c r="F327" s="38"/>
    </row>
    <row r="328" spans="1:6" x14ac:dyDescent="0.3">
      <c r="A328" s="37"/>
      <c r="B328" s="37"/>
      <c r="C328" s="37"/>
      <c r="D328" s="37"/>
      <c r="E328" s="37"/>
      <c r="F328" s="38"/>
    </row>
    <row r="329" spans="1:6" x14ac:dyDescent="0.3">
      <c r="A329" s="37"/>
      <c r="B329" s="37"/>
      <c r="C329" s="37"/>
      <c r="D329" s="37"/>
      <c r="E329" s="37"/>
      <c r="F329" s="38"/>
    </row>
    <row r="330" spans="1:6" x14ac:dyDescent="0.3">
      <c r="A330" s="37"/>
      <c r="B330" s="37"/>
      <c r="C330" s="37"/>
      <c r="D330" s="37"/>
      <c r="E330" s="37"/>
      <c r="F330" s="38"/>
    </row>
    <row r="331" spans="1:6" x14ac:dyDescent="0.3">
      <c r="A331" s="37"/>
      <c r="B331" s="37"/>
      <c r="C331" s="37"/>
      <c r="D331" s="37"/>
      <c r="E331" s="37"/>
      <c r="F331" s="38"/>
    </row>
    <row r="332" spans="1:6" x14ac:dyDescent="0.3">
      <c r="A332" s="37"/>
      <c r="B332" s="37"/>
      <c r="C332" s="37"/>
      <c r="D332" s="37"/>
      <c r="E332" s="37"/>
      <c r="F332" s="38"/>
    </row>
    <row r="333" spans="1:6" x14ac:dyDescent="0.3">
      <c r="A333" s="37"/>
      <c r="B333" s="37"/>
      <c r="C333" s="37"/>
      <c r="D333" s="37"/>
      <c r="E333" s="37"/>
      <c r="F333" s="38"/>
    </row>
    <row r="334" spans="1:6" x14ac:dyDescent="0.3">
      <c r="A334" s="37"/>
      <c r="B334" s="37"/>
      <c r="C334" s="37"/>
      <c r="D334" s="37"/>
      <c r="E334" s="37"/>
      <c r="F334" s="38"/>
    </row>
    <row r="335" spans="1:6" x14ac:dyDescent="0.3">
      <c r="A335" s="37"/>
      <c r="B335" s="37"/>
      <c r="C335" s="37"/>
      <c r="D335" s="37"/>
      <c r="E335" s="37"/>
      <c r="F335" s="38"/>
    </row>
    <row r="336" spans="1:6" x14ac:dyDescent="0.3">
      <c r="A336" s="37"/>
      <c r="B336" s="37"/>
      <c r="C336" s="37"/>
      <c r="D336" s="37"/>
      <c r="E336" s="37"/>
      <c r="F336" s="38"/>
    </row>
    <row r="337" spans="1:6" x14ac:dyDescent="0.3">
      <c r="A337" s="37"/>
      <c r="B337" s="37"/>
      <c r="C337" s="37"/>
      <c r="D337" s="37"/>
      <c r="E337" s="37"/>
      <c r="F337" s="38"/>
    </row>
    <row r="338" spans="1:6" x14ac:dyDescent="0.3">
      <c r="A338" s="37"/>
      <c r="B338" s="37"/>
      <c r="C338" s="37"/>
      <c r="D338" s="37"/>
      <c r="E338" s="37"/>
      <c r="F338" s="38"/>
    </row>
    <row r="339" spans="1:6" x14ac:dyDescent="0.3">
      <c r="A339" s="37"/>
      <c r="B339" s="37"/>
      <c r="C339" s="37"/>
      <c r="D339" s="37"/>
      <c r="E339" s="37"/>
      <c r="F339" s="38"/>
    </row>
    <row r="340" spans="1:6" x14ac:dyDescent="0.3">
      <c r="A340" s="37"/>
      <c r="B340" s="37"/>
      <c r="C340" s="37"/>
      <c r="D340" s="37"/>
      <c r="E340" s="37"/>
      <c r="F340" s="38"/>
    </row>
    <row r="341" spans="1:6" x14ac:dyDescent="0.3">
      <c r="A341" s="37"/>
      <c r="B341" s="37"/>
      <c r="C341" s="37"/>
      <c r="D341" s="37"/>
      <c r="E341" s="37"/>
      <c r="F341" s="38"/>
    </row>
    <row r="342" spans="1:6" x14ac:dyDescent="0.3">
      <c r="A342" s="37"/>
      <c r="B342" s="37"/>
      <c r="C342" s="37"/>
      <c r="D342" s="37"/>
      <c r="E342" s="37"/>
      <c r="F342" s="38"/>
    </row>
    <row r="343" spans="1:6" x14ac:dyDescent="0.3">
      <c r="A343" s="37"/>
      <c r="B343" s="37"/>
      <c r="C343" s="37"/>
      <c r="D343" s="37"/>
      <c r="E343" s="37"/>
      <c r="F343" s="38"/>
    </row>
    <row r="344" spans="1:6" x14ac:dyDescent="0.3">
      <c r="A344" s="37"/>
      <c r="B344" s="37"/>
      <c r="C344" s="37"/>
      <c r="D344" s="37"/>
      <c r="E344" s="37"/>
      <c r="F344" s="38"/>
    </row>
    <row r="345" spans="1:6" x14ac:dyDescent="0.3">
      <c r="A345" s="37"/>
      <c r="B345" s="37"/>
      <c r="C345" s="37"/>
      <c r="D345" s="37"/>
      <c r="E345" s="37"/>
      <c r="F345" s="38"/>
    </row>
    <row r="346" spans="1:6" x14ac:dyDescent="0.3">
      <c r="A346" s="37"/>
      <c r="B346" s="37"/>
      <c r="C346" s="37"/>
      <c r="D346" s="37"/>
      <c r="E346" s="37"/>
      <c r="F346" s="38"/>
    </row>
    <row r="347" spans="1:6" x14ac:dyDescent="0.3">
      <c r="A347" s="37"/>
      <c r="B347" s="37"/>
      <c r="C347" s="37"/>
      <c r="D347" s="37"/>
      <c r="E347" s="37"/>
      <c r="F347" s="38"/>
    </row>
    <row r="348" spans="1:6" x14ac:dyDescent="0.3">
      <c r="A348" s="37"/>
      <c r="B348" s="37"/>
      <c r="C348" s="37"/>
      <c r="D348" s="37"/>
      <c r="E348" s="37"/>
      <c r="F348" s="38"/>
    </row>
    <row r="349" spans="1:6" x14ac:dyDescent="0.3">
      <c r="A349" s="37"/>
      <c r="B349" s="37"/>
      <c r="C349" s="37"/>
      <c r="D349" s="37"/>
      <c r="E349" s="37"/>
      <c r="F349" s="38"/>
    </row>
    <row r="350" spans="1:6" x14ac:dyDescent="0.3">
      <c r="A350" s="37"/>
      <c r="B350" s="37"/>
      <c r="C350" s="37"/>
      <c r="D350" s="37"/>
      <c r="E350" s="37"/>
      <c r="F350" s="38"/>
    </row>
    <row r="351" spans="1:6" x14ac:dyDescent="0.3">
      <c r="A351" s="37"/>
      <c r="B351" s="37"/>
      <c r="C351" s="37"/>
      <c r="D351" s="37"/>
      <c r="E351" s="37"/>
      <c r="F351" s="38"/>
    </row>
    <row r="352" spans="1:6" x14ac:dyDescent="0.3">
      <c r="A352" s="37"/>
      <c r="B352" s="37"/>
      <c r="C352" s="37"/>
      <c r="D352" s="37"/>
      <c r="E352" s="37"/>
      <c r="F352" s="38"/>
    </row>
    <row r="353" spans="1:6" x14ac:dyDescent="0.3">
      <c r="A353" s="37"/>
      <c r="B353" s="37"/>
      <c r="C353" s="37"/>
      <c r="D353" s="37"/>
      <c r="E353" s="37"/>
      <c r="F353" s="38"/>
    </row>
    <row r="354" spans="1:6" x14ac:dyDescent="0.3">
      <c r="A354" s="37"/>
      <c r="B354" s="37"/>
      <c r="C354" s="37"/>
      <c r="D354" s="37"/>
      <c r="E354" s="37"/>
      <c r="F354" s="38"/>
    </row>
    <row r="355" spans="1:6" x14ac:dyDescent="0.3">
      <c r="A355" s="37"/>
      <c r="B355" s="37"/>
      <c r="C355" s="37"/>
      <c r="D355" s="37"/>
      <c r="E355" s="37"/>
      <c r="F355" s="38"/>
    </row>
    <row r="356" spans="1:6" x14ac:dyDescent="0.3">
      <c r="A356" s="37"/>
      <c r="B356" s="37"/>
      <c r="C356" s="37"/>
      <c r="D356" s="37"/>
      <c r="E356" s="37"/>
      <c r="F356" s="38"/>
    </row>
    <row r="357" spans="1:6" x14ac:dyDescent="0.3">
      <c r="A357" s="37"/>
      <c r="B357" s="37"/>
      <c r="C357" s="37"/>
      <c r="D357" s="37"/>
      <c r="E357" s="37"/>
      <c r="F357" s="38"/>
    </row>
    <row r="358" spans="1:6" x14ac:dyDescent="0.3">
      <c r="A358" s="37"/>
      <c r="B358" s="37"/>
      <c r="C358" s="37"/>
      <c r="D358" s="37"/>
      <c r="E358" s="37"/>
      <c r="F358" s="38"/>
    </row>
    <row r="359" spans="1:6" x14ac:dyDescent="0.3">
      <c r="A359" s="37"/>
      <c r="B359" s="37"/>
      <c r="C359" s="37"/>
      <c r="D359" s="37"/>
      <c r="E359" s="37"/>
      <c r="F359" s="38"/>
    </row>
    <row r="360" spans="1:6" x14ac:dyDescent="0.3">
      <c r="A360" s="37"/>
      <c r="B360" s="37"/>
      <c r="C360" s="37"/>
      <c r="D360" s="37"/>
      <c r="E360" s="37"/>
      <c r="F360" s="38"/>
    </row>
    <row r="361" spans="1:6" x14ac:dyDescent="0.3">
      <c r="A361" s="37"/>
      <c r="B361" s="37"/>
      <c r="C361" s="37"/>
      <c r="D361" s="37"/>
      <c r="E361" s="37"/>
      <c r="F361" s="38"/>
    </row>
    <row r="362" spans="1:6" x14ac:dyDescent="0.3">
      <c r="A362" s="37"/>
      <c r="B362" s="37"/>
      <c r="C362" s="37"/>
      <c r="D362" s="37"/>
      <c r="E362" s="37"/>
      <c r="F362" s="38"/>
    </row>
    <row r="363" spans="1:6" x14ac:dyDescent="0.3">
      <c r="A363" s="37"/>
      <c r="B363" s="37"/>
      <c r="C363" s="37"/>
      <c r="D363" s="37"/>
      <c r="E363" s="37"/>
      <c r="F363" s="38"/>
    </row>
    <row r="364" spans="1:6" x14ac:dyDescent="0.3">
      <c r="A364" s="37"/>
      <c r="B364" s="37"/>
      <c r="C364" s="37"/>
      <c r="D364" s="37"/>
      <c r="E364" s="37"/>
      <c r="F364" s="38"/>
    </row>
    <row r="365" spans="1:6" x14ac:dyDescent="0.3">
      <c r="A365" s="37"/>
      <c r="B365" s="37"/>
      <c r="C365" s="37"/>
      <c r="D365" s="37"/>
      <c r="E365" s="37"/>
      <c r="F365" s="38"/>
    </row>
    <row r="366" spans="1:6" x14ac:dyDescent="0.3">
      <c r="A366" s="37"/>
      <c r="B366" s="37"/>
      <c r="C366" s="37"/>
      <c r="D366" s="37"/>
      <c r="E366" s="37"/>
      <c r="F366" s="38"/>
    </row>
    <row r="367" spans="1:6" x14ac:dyDescent="0.3">
      <c r="A367" s="37"/>
      <c r="B367" s="37"/>
      <c r="C367" s="37"/>
      <c r="D367" s="37"/>
      <c r="E367" s="37"/>
      <c r="F367" s="38"/>
    </row>
    <row r="368" spans="1:6" x14ac:dyDescent="0.3">
      <c r="A368" s="37"/>
      <c r="B368" s="37"/>
      <c r="C368" s="37"/>
      <c r="D368" s="37"/>
      <c r="E368" s="37"/>
      <c r="F368" s="38"/>
    </row>
    <row r="369" spans="1:6" x14ac:dyDescent="0.3">
      <c r="A369" s="37"/>
      <c r="B369" s="37"/>
      <c r="C369" s="37"/>
      <c r="D369" s="37"/>
      <c r="E369" s="37"/>
      <c r="F369" s="38"/>
    </row>
    <row r="370" spans="1:6" x14ac:dyDescent="0.3">
      <c r="A370" s="37"/>
      <c r="B370" s="37"/>
      <c r="C370" s="37"/>
      <c r="D370" s="37"/>
      <c r="E370" s="37"/>
      <c r="F370" s="38"/>
    </row>
    <row r="371" spans="1:6" x14ac:dyDescent="0.3">
      <c r="A371" s="37"/>
      <c r="B371" s="37"/>
      <c r="C371" s="37"/>
      <c r="D371" s="37"/>
      <c r="E371" s="37"/>
      <c r="F371" s="38"/>
    </row>
    <row r="372" spans="1:6" x14ac:dyDescent="0.3">
      <c r="A372" s="37"/>
      <c r="B372" s="37"/>
      <c r="C372" s="37"/>
      <c r="D372" s="37"/>
      <c r="E372" s="37"/>
      <c r="F372" s="38"/>
    </row>
    <row r="373" spans="1:6" x14ac:dyDescent="0.3">
      <c r="A373" s="37"/>
      <c r="B373" s="37"/>
      <c r="C373" s="37"/>
      <c r="D373" s="37"/>
      <c r="E373" s="37"/>
      <c r="F373" s="38"/>
    </row>
    <row r="374" spans="1:6" x14ac:dyDescent="0.3">
      <c r="A374" s="37"/>
      <c r="B374" s="37"/>
      <c r="C374" s="37"/>
      <c r="D374" s="37"/>
      <c r="E374" s="37"/>
      <c r="F374" s="38"/>
    </row>
    <row r="375" spans="1:6" x14ac:dyDescent="0.3">
      <c r="A375" s="37"/>
      <c r="B375" s="37"/>
      <c r="C375" s="37"/>
      <c r="D375" s="37"/>
      <c r="E375" s="37"/>
      <c r="F375" s="38"/>
    </row>
    <row r="376" spans="1:6" x14ac:dyDescent="0.3">
      <c r="A376" s="37"/>
      <c r="B376" s="37"/>
      <c r="C376" s="37"/>
      <c r="D376" s="37"/>
      <c r="E376" s="37"/>
      <c r="F376" s="38"/>
    </row>
    <row r="377" spans="1:6" x14ac:dyDescent="0.3">
      <c r="A377" s="37"/>
      <c r="B377" s="37"/>
      <c r="C377" s="37"/>
      <c r="D377" s="37"/>
      <c r="E377" s="37"/>
      <c r="F377" s="38"/>
    </row>
    <row r="378" spans="1:6" x14ac:dyDescent="0.3">
      <c r="A378" s="37"/>
      <c r="B378" s="37"/>
      <c r="C378" s="37"/>
      <c r="D378" s="37"/>
      <c r="E378" s="37"/>
      <c r="F378" s="38"/>
    </row>
    <row r="379" spans="1:6" x14ac:dyDescent="0.3">
      <c r="A379" s="37"/>
      <c r="B379" s="37"/>
      <c r="C379" s="37"/>
      <c r="D379" s="37"/>
      <c r="E379" s="37"/>
      <c r="F379" s="38"/>
    </row>
    <row r="380" spans="1:6" x14ac:dyDescent="0.3">
      <c r="A380" s="37"/>
      <c r="B380" s="37"/>
      <c r="C380" s="37"/>
      <c r="D380" s="37"/>
      <c r="E380" s="37"/>
      <c r="F380" s="38"/>
    </row>
    <row r="381" spans="1:6" x14ac:dyDescent="0.3">
      <c r="A381" s="37"/>
      <c r="B381" s="37"/>
      <c r="C381" s="37"/>
      <c r="D381" s="37"/>
      <c r="E381" s="37"/>
      <c r="F381" s="38"/>
    </row>
    <row r="382" spans="1:6" x14ac:dyDescent="0.3">
      <c r="A382" s="37"/>
      <c r="B382" s="37"/>
      <c r="C382" s="37"/>
      <c r="D382" s="37"/>
      <c r="E382" s="37"/>
      <c r="F382" s="38"/>
    </row>
    <row r="383" spans="1:6" x14ac:dyDescent="0.3">
      <c r="A383" s="37"/>
      <c r="B383" s="37"/>
      <c r="C383" s="37"/>
      <c r="D383" s="37"/>
      <c r="E383" s="37"/>
      <c r="F383" s="38"/>
    </row>
    <row r="384" spans="1:6" x14ac:dyDescent="0.3">
      <c r="A384" s="37"/>
      <c r="B384" s="37"/>
      <c r="C384" s="37"/>
      <c r="D384" s="37"/>
      <c r="E384" s="37"/>
      <c r="F384" s="38"/>
    </row>
    <row r="385" spans="1:6" x14ac:dyDescent="0.3">
      <c r="A385" s="37"/>
      <c r="B385" s="37"/>
      <c r="C385" s="37"/>
      <c r="D385" s="37"/>
      <c r="E385" s="37"/>
      <c r="F385" s="38"/>
    </row>
    <row r="386" spans="1:6" x14ac:dyDescent="0.3">
      <c r="A386" s="37"/>
      <c r="B386" s="37"/>
      <c r="C386" s="37"/>
      <c r="D386" s="37"/>
      <c r="E386" s="37"/>
      <c r="F386" s="38"/>
    </row>
    <row r="387" spans="1:6" x14ac:dyDescent="0.3">
      <c r="A387" s="37"/>
      <c r="B387" s="37"/>
      <c r="C387" s="37"/>
      <c r="D387" s="37"/>
      <c r="E387" s="37"/>
      <c r="F387" s="38"/>
    </row>
    <row r="388" spans="1:6" x14ac:dyDescent="0.3">
      <c r="A388" s="37"/>
      <c r="B388" s="37"/>
      <c r="C388" s="37"/>
      <c r="D388" s="37"/>
      <c r="E388" s="37"/>
      <c r="F388" s="38"/>
    </row>
    <row r="389" spans="1:6" x14ac:dyDescent="0.3">
      <c r="A389" s="37"/>
      <c r="B389" s="37"/>
      <c r="C389" s="37"/>
      <c r="D389" s="37"/>
      <c r="E389" s="37"/>
      <c r="F389" s="38"/>
    </row>
    <row r="390" spans="1:6" x14ac:dyDescent="0.3">
      <c r="A390" s="37"/>
      <c r="B390" s="37"/>
      <c r="C390" s="37"/>
      <c r="D390" s="37"/>
      <c r="E390" s="37"/>
      <c r="F390" s="38"/>
    </row>
    <row r="391" spans="1:6" x14ac:dyDescent="0.3">
      <c r="A391" s="37"/>
      <c r="B391" s="37"/>
      <c r="C391" s="37"/>
      <c r="D391" s="37"/>
      <c r="E391" s="37"/>
      <c r="F391" s="38"/>
    </row>
    <row r="392" spans="1:6" x14ac:dyDescent="0.3">
      <c r="A392" s="37"/>
      <c r="B392" s="37"/>
      <c r="C392" s="37"/>
      <c r="D392" s="37"/>
      <c r="E392" s="37"/>
      <c r="F392" s="38"/>
    </row>
    <row r="393" spans="1:6" x14ac:dyDescent="0.3">
      <c r="A393" s="37"/>
      <c r="B393" s="37"/>
      <c r="C393" s="37"/>
      <c r="D393" s="37"/>
      <c r="E393" s="37"/>
      <c r="F393" s="38"/>
    </row>
    <row r="394" spans="1:6" x14ac:dyDescent="0.3">
      <c r="A394" s="37"/>
      <c r="B394" s="37"/>
      <c r="C394" s="37"/>
      <c r="D394" s="37"/>
      <c r="E394" s="37"/>
      <c r="F394" s="38"/>
    </row>
    <row r="395" spans="1:6" x14ac:dyDescent="0.3">
      <c r="A395" s="37"/>
      <c r="B395" s="37"/>
      <c r="C395" s="37"/>
      <c r="D395" s="37"/>
      <c r="E395" s="37"/>
      <c r="F395" s="38"/>
    </row>
    <row r="396" spans="1:6" x14ac:dyDescent="0.3">
      <c r="A396" s="37"/>
      <c r="B396" s="37"/>
      <c r="C396" s="37"/>
      <c r="D396" s="37"/>
      <c r="E396" s="37"/>
      <c r="F396" s="38"/>
    </row>
    <row r="397" spans="1:6" x14ac:dyDescent="0.3">
      <c r="A397" s="37"/>
      <c r="B397" s="37"/>
      <c r="C397" s="37"/>
      <c r="D397" s="37"/>
      <c r="E397" s="37"/>
      <c r="F397" s="38"/>
    </row>
    <row r="398" spans="1:6" x14ac:dyDescent="0.3">
      <c r="A398" s="37"/>
      <c r="B398" s="37"/>
      <c r="C398" s="37"/>
      <c r="D398" s="37"/>
      <c r="E398" s="37"/>
      <c r="F398" s="38"/>
    </row>
    <row r="399" spans="1:6" x14ac:dyDescent="0.3">
      <c r="A399" s="37"/>
      <c r="B399" s="37"/>
      <c r="C399" s="37"/>
      <c r="D399" s="37"/>
      <c r="E399" s="37"/>
      <c r="F399" s="38"/>
    </row>
    <row r="400" spans="1:6" x14ac:dyDescent="0.3">
      <c r="A400" s="37"/>
      <c r="B400" s="37"/>
      <c r="C400" s="37"/>
      <c r="D400" s="37"/>
      <c r="E400" s="37"/>
      <c r="F400" s="38"/>
    </row>
    <row r="401" spans="1:6" x14ac:dyDescent="0.3">
      <c r="A401" s="37"/>
      <c r="B401" s="37"/>
      <c r="C401" s="37"/>
      <c r="D401" s="37"/>
      <c r="E401" s="37"/>
      <c r="F401" s="38"/>
    </row>
    <row r="402" spans="1:6" x14ac:dyDescent="0.3">
      <c r="A402" s="37"/>
      <c r="B402" s="37"/>
      <c r="C402" s="37"/>
      <c r="D402" s="37"/>
      <c r="E402" s="37"/>
      <c r="F402" s="38"/>
    </row>
    <row r="403" spans="1:6" x14ac:dyDescent="0.3">
      <c r="A403" s="37"/>
      <c r="B403" s="37"/>
      <c r="C403" s="37"/>
      <c r="D403" s="37"/>
      <c r="E403" s="37"/>
      <c r="F403" s="38"/>
    </row>
    <row r="404" spans="1:6" x14ac:dyDescent="0.3">
      <c r="A404" s="37"/>
      <c r="B404" s="37"/>
      <c r="C404" s="37"/>
      <c r="D404" s="37"/>
      <c r="E404" s="37"/>
      <c r="F404" s="38"/>
    </row>
    <row r="405" spans="1:6" x14ac:dyDescent="0.3">
      <c r="A405" s="37"/>
      <c r="B405" s="37"/>
      <c r="C405" s="37"/>
      <c r="D405" s="37"/>
      <c r="E405" s="37"/>
      <c r="F405" s="38"/>
    </row>
    <row r="406" spans="1:6" x14ac:dyDescent="0.3">
      <c r="A406" s="37"/>
      <c r="B406" s="37"/>
      <c r="C406" s="37"/>
      <c r="D406" s="37"/>
      <c r="E406" s="37"/>
      <c r="F406" s="38"/>
    </row>
    <row r="407" spans="1:6" x14ac:dyDescent="0.3">
      <c r="A407" s="37"/>
      <c r="B407" s="37"/>
      <c r="C407" s="37"/>
      <c r="D407" s="37"/>
      <c r="E407" s="37"/>
      <c r="F407" s="38"/>
    </row>
    <row r="408" spans="1:6" x14ac:dyDescent="0.3">
      <c r="A408" s="39"/>
      <c r="B408" s="39"/>
      <c r="C408" s="39"/>
      <c r="D408" s="39"/>
      <c r="E408" s="39"/>
      <c r="F408" s="40"/>
    </row>
    <row r="409" spans="1:6" x14ac:dyDescent="0.3">
      <c r="A409" s="39"/>
      <c r="B409" s="39"/>
      <c r="C409" s="39"/>
      <c r="D409" s="39"/>
      <c r="E409" s="39"/>
      <c r="F409" s="40"/>
    </row>
    <row r="410" spans="1:6" x14ac:dyDescent="0.3">
      <c r="A410" s="39"/>
      <c r="B410" s="39"/>
      <c r="C410" s="39"/>
      <c r="D410" s="39"/>
      <c r="E410" s="39"/>
      <c r="F410" s="40"/>
    </row>
    <row r="411" spans="1:6" x14ac:dyDescent="0.3">
      <c r="A411" s="39"/>
      <c r="B411" s="39"/>
      <c r="C411" s="39"/>
      <c r="D411" s="39"/>
      <c r="E411" s="39"/>
      <c r="F411" s="40"/>
    </row>
    <row r="412" spans="1:6" x14ac:dyDescent="0.3">
      <c r="A412" s="39"/>
      <c r="B412" s="39"/>
      <c r="C412" s="39"/>
      <c r="D412" s="39"/>
      <c r="E412" s="39"/>
      <c r="F412" s="40"/>
    </row>
    <row r="413" spans="1:6" x14ac:dyDescent="0.3">
      <c r="A413" s="39"/>
      <c r="B413" s="39"/>
      <c r="C413" s="39"/>
      <c r="D413" s="39"/>
      <c r="E413" s="39"/>
      <c r="F413" s="40"/>
    </row>
    <row r="414" spans="1:6" x14ac:dyDescent="0.3">
      <c r="A414" s="39"/>
      <c r="B414" s="39"/>
      <c r="C414" s="39"/>
      <c r="D414" s="39"/>
      <c r="E414" s="39"/>
      <c r="F414" s="39"/>
    </row>
  </sheetData>
  <mergeCells count="79">
    <mergeCell ref="D184:E184"/>
    <mergeCell ref="D185:E185"/>
    <mergeCell ref="D181:E181"/>
    <mergeCell ref="D182:E182"/>
    <mergeCell ref="D183:E183"/>
    <mergeCell ref="G185:G192"/>
    <mergeCell ref="D186:E186"/>
    <mergeCell ref="D187:E187"/>
    <mergeCell ref="D188:E188"/>
    <mergeCell ref="D189:E189"/>
    <mergeCell ref="D190:E190"/>
    <mergeCell ref="D193:E193"/>
    <mergeCell ref="C195:D195"/>
    <mergeCell ref="C197:D197"/>
    <mergeCell ref="F185:F192"/>
    <mergeCell ref="A168:G168"/>
    <mergeCell ref="F169:F175"/>
    <mergeCell ref="G169:G175"/>
    <mergeCell ref="A176:G176"/>
    <mergeCell ref="D177:E177"/>
    <mergeCell ref="F177:F184"/>
    <mergeCell ref="G177:G184"/>
    <mergeCell ref="D178:E178"/>
    <mergeCell ref="D179:E179"/>
    <mergeCell ref="D180:E180"/>
    <mergeCell ref="D191:E191"/>
    <mergeCell ref="D192:E192"/>
    <mergeCell ref="A123:G123"/>
    <mergeCell ref="G153:G160"/>
    <mergeCell ref="F161:F167"/>
    <mergeCell ref="G161:G167"/>
    <mergeCell ref="F138:F145"/>
    <mergeCell ref="G138:G145"/>
    <mergeCell ref="A137:G137"/>
    <mergeCell ref="F124:F130"/>
    <mergeCell ref="G124:G130"/>
    <mergeCell ref="F131:F133"/>
    <mergeCell ref="G131:G133"/>
    <mergeCell ref="F134:F136"/>
    <mergeCell ref="G134:G136"/>
    <mergeCell ref="F146:F152"/>
    <mergeCell ref="G146:G152"/>
    <mergeCell ref="F153:F160"/>
    <mergeCell ref="F107:F114"/>
    <mergeCell ref="G107:G114"/>
    <mergeCell ref="F115:F122"/>
    <mergeCell ref="A82:G82"/>
    <mergeCell ref="A33:G33"/>
    <mergeCell ref="F34:F73"/>
    <mergeCell ref="G34:G73"/>
    <mergeCell ref="A80:B80"/>
    <mergeCell ref="A81:B81"/>
    <mergeCell ref="F83:F90"/>
    <mergeCell ref="G83:G90"/>
    <mergeCell ref="F91:F98"/>
    <mergeCell ref="G91:G98"/>
    <mergeCell ref="F99:F106"/>
    <mergeCell ref="G99:G106"/>
    <mergeCell ref="G115:G122"/>
    <mergeCell ref="F7:F13"/>
    <mergeCell ref="G7:G13"/>
    <mergeCell ref="F74:F78"/>
    <mergeCell ref="G74:G78"/>
    <mergeCell ref="A79:B79"/>
    <mergeCell ref="A14:G14"/>
    <mergeCell ref="F15:F19"/>
    <mergeCell ref="G15:G19"/>
    <mergeCell ref="G20:G24"/>
    <mergeCell ref="F20:F24"/>
    <mergeCell ref="F25:F32"/>
    <mergeCell ref="G25:G32"/>
    <mergeCell ref="A1:G1"/>
    <mergeCell ref="A2:G2"/>
    <mergeCell ref="A6:G6"/>
    <mergeCell ref="A3:A4"/>
    <mergeCell ref="B3:B4"/>
    <mergeCell ref="C3:C4"/>
    <mergeCell ref="D3:F3"/>
    <mergeCell ref="G3:G4"/>
  </mergeCells>
  <pageMargins left="0.7" right="0.7" top="0.75" bottom="0.75" header="0.3" footer="0.3"/>
  <pageSetup paperSize="9" scale="46" fitToHeight="0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794A1C-A3EB-4423-B336-3591A1753D6D}">
  <sheetPr>
    <pageSetUpPr fitToPage="1"/>
  </sheetPr>
  <dimension ref="A1:G454"/>
  <sheetViews>
    <sheetView topLeftCell="A58" zoomScale="75" zoomScaleNormal="75" workbookViewId="0">
      <selection activeCell="K68" sqref="K68"/>
    </sheetView>
  </sheetViews>
  <sheetFormatPr defaultRowHeight="14.4" x14ac:dyDescent="0.3"/>
  <cols>
    <col min="1" max="1" width="5.33203125" customWidth="1"/>
    <col min="2" max="2" width="57.109375" customWidth="1"/>
    <col min="3" max="3" width="17.33203125" customWidth="1"/>
    <col min="4" max="4" width="14.44140625" customWidth="1"/>
    <col min="5" max="5" width="15.6640625" bestFit="1" customWidth="1"/>
    <col min="6" max="6" width="36" customWidth="1"/>
    <col min="7" max="7" width="40.44140625" customWidth="1"/>
  </cols>
  <sheetData>
    <row r="1" spans="1:7" ht="17.399999999999999" x14ac:dyDescent="0.3">
      <c r="A1" s="46" t="s">
        <v>189</v>
      </c>
      <c r="B1" s="47"/>
      <c r="C1" s="47"/>
      <c r="D1" s="47"/>
      <c r="E1" s="47"/>
      <c r="F1" s="47"/>
      <c r="G1" s="48"/>
    </row>
    <row r="2" spans="1:7" ht="18.600000000000001" thickBot="1" x14ac:dyDescent="0.4">
      <c r="A2" s="49" t="s">
        <v>190</v>
      </c>
      <c r="B2" s="50"/>
      <c r="C2" s="50"/>
      <c r="D2" s="50"/>
      <c r="E2" s="50"/>
      <c r="F2" s="50"/>
      <c r="G2" s="51"/>
    </row>
    <row r="3" spans="1:7" ht="15.6" x14ac:dyDescent="0.3">
      <c r="A3" s="55" t="s">
        <v>0</v>
      </c>
      <c r="B3" s="57" t="s">
        <v>84</v>
      </c>
      <c r="C3" s="57" t="s">
        <v>2</v>
      </c>
      <c r="D3" s="59" t="s">
        <v>86</v>
      </c>
      <c r="E3" s="60"/>
      <c r="F3" s="61"/>
      <c r="G3" s="62" t="s">
        <v>83</v>
      </c>
    </row>
    <row r="4" spans="1:7" ht="31.5" customHeight="1" x14ac:dyDescent="0.3">
      <c r="A4" s="56"/>
      <c r="B4" s="58"/>
      <c r="C4" s="58"/>
      <c r="D4" s="13" t="s">
        <v>145</v>
      </c>
      <c r="E4" s="13" t="s">
        <v>146</v>
      </c>
      <c r="F4" s="13" t="s">
        <v>85</v>
      </c>
      <c r="G4" s="63"/>
    </row>
    <row r="5" spans="1:7" ht="15.6" x14ac:dyDescent="0.3">
      <c r="A5" s="15">
        <v>1</v>
      </c>
      <c r="B5" s="13">
        <v>2</v>
      </c>
      <c r="C5" s="13">
        <v>3</v>
      </c>
      <c r="D5" s="13">
        <v>4</v>
      </c>
      <c r="E5" s="13">
        <v>5</v>
      </c>
      <c r="F5" s="13">
        <v>6</v>
      </c>
      <c r="G5" s="14">
        <v>7</v>
      </c>
    </row>
    <row r="6" spans="1:7" ht="15.6" x14ac:dyDescent="0.3">
      <c r="A6" s="52" t="s">
        <v>1</v>
      </c>
      <c r="B6" s="53"/>
      <c r="C6" s="53"/>
      <c r="D6" s="53"/>
      <c r="E6" s="53"/>
      <c r="F6" s="53"/>
      <c r="G6" s="54"/>
    </row>
    <row r="7" spans="1:7" ht="47.25" customHeight="1" x14ac:dyDescent="0.3">
      <c r="A7" s="16">
        <v>1</v>
      </c>
      <c r="B7" s="17" t="s">
        <v>5</v>
      </c>
      <c r="C7" s="2" t="s">
        <v>6</v>
      </c>
      <c r="D7" s="3">
        <f>(3.14*('Исходные данные'!B4/2+'Исходные данные'!B5/2)*'Исходные данные'!C3)*1.5/100</f>
        <v>1.3611900000000003E-5</v>
      </c>
      <c r="E7" s="3">
        <f>D7*'Исходные данные'!D2</f>
        <v>1.3611900000000003E-5</v>
      </c>
      <c r="F7" s="64" t="s">
        <v>33</v>
      </c>
      <c r="G7" s="67" t="s">
        <v>89</v>
      </c>
    </row>
    <row r="8" spans="1:7" ht="15.6" x14ac:dyDescent="0.3">
      <c r="A8" s="16"/>
      <c r="B8" s="18" t="s">
        <v>87</v>
      </c>
      <c r="C8" s="2"/>
      <c r="D8" s="3"/>
      <c r="E8" s="3"/>
      <c r="F8" s="65"/>
      <c r="G8" s="68"/>
    </row>
    <row r="9" spans="1:7" ht="31.2" x14ac:dyDescent="0.3">
      <c r="A9" s="16"/>
      <c r="B9" s="19" t="s">
        <v>10</v>
      </c>
      <c r="C9" s="2" t="s">
        <v>9</v>
      </c>
      <c r="D9" s="3">
        <f>0.009*D7</f>
        <v>1.2250710000000002E-7</v>
      </c>
      <c r="E9" s="3">
        <f>D9*'Исходные данные'!D2</f>
        <v>1.2250710000000002E-7</v>
      </c>
      <c r="F9" s="65"/>
      <c r="G9" s="68"/>
    </row>
    <row r="10" spans="1:7" ht="31.2" x14ac:dyDescent="0.3">
      <c r="A10" s="16"/>
      <c r="B10" s="19" t="s">
        <v>11</v>
      </c>
      <c r="C10" s="2" t="s">
        <v>3</v>
      </c>
      <c r="D10" s="3">
        <f>0.035*D7</f>
        <v>4.7641650000000014E-7</v>
      </c>
      <c r="E10" s="3">
        <f>D10*'Исходные данные'!D2</f>
        <v>4.7641650000000014E-7</v>
      </c>
      <c r="F10" s="65"/>
      <c r="G10" s="68"/>
    </row>
    <row r="11" spans="1:7" ht="15.6" x14ac:dyDescent="0.3">
      <c r="A11" s="16"/>
      <c r="B11" s="17" t="s">
        <v>8</v>
      </c>
      <c r="C11" s="2" t="s">
        <v>4</v>
      </c>
      <c r="D11" s="3">
        <f>3.4*D7</f>
        <v>4.6280460000000009E-5</v>
      </c>
      <c r="E11" s="3">
        <f>D11*'Исходные данные'!D2</f>
        <v>4.6280460000000009E-5</v>
      </c>
      <c r="F11" s="65"/>
      <c r="G11" s="68"/>
    </row>
    <row r="12" spans="1:7" ht="15.6" x14ac:dyDescent="0.3">
      <c r="A12" s="16"/>
      <c r="B12" s="18" t="s">
        <v>88</v>
      </c>
      <c r="C12" s="2"/>
      <c r="D12" s="3"/>
      <c r="E12" s="3"/>
      <c r="F12" s="65"/>
      <c r="G12" s="68"/>
    </row>
    <row r="13" spans="1:7" ht="15.6" x14ac:dyDescent="0.3">
      <c r="A13" s="16"/>
      <c r="B13" s="17" t="s">
        <v>90</v>
      </c>
      <c r="C13" s="2"/>
      <c r="D13" s="3"/>
      <c r="E13" s="3"/>
      <c r="F13" s="66"/>
      <c r="G13" s="69"/>
    </row>
    <row r="14" spans="1:7" ht="15.6" x14ac:dyDescent="0.3">
      <c r="A14" s="52" t="s">
        <v>119</v>
      </c>
      <c r="B14" s="53"/>
      <c r="C14" s="53"/>
      <c r="D14" s="53"/>
      <c r="E14" s="53"/>
      <c r="F14" s="53"/>
      <c r="G14" s="54"/>
    </row>
    <row r="15" spans="1:7" ht="46.8" x14ac:dyDescent="0.3">
      <c r="A15" s="16">
        <v>1</v>
      </c>
      <c r="B15" s="19" t="s">
        <v>162</v>
      </c>
      <c r="C15" s="1" t="s">
        <v>51</v>
      </c>
      <c r="D15" s="3">
        <f>(3.14*((('Исходные данные'!B4+2)/2)^2-(('Исходные данные'!B4-2)/2)^2))*1/1000</f>
        <v>9.4200000000000433E-5</v>
      </c>
      <c r="E15" s="3">
        <f>D15*'Исходные данные'!D2</f>
        <v>9.4200000000000433E-5</v>
      </c>
      <c r="F15" s="64" t="s">
        <v>107</v>
      </c>
      <c r="G15" s="67" t="s">
        <v>163</v>
      </c>
    </row>
    <row r="16" spans="1:7" ht="15.6" x14ac:dyDescent="0.3">
      <c r="A16" s="41"/>
      <c r="B16" s="18" t="s">
        <v>88</v>
      </c>
      <c r="C16" s="42"/>
      <c r="D16" s="42"/>
      <c r="E16" s="42"/>
      <c r="F16" s="65"/>
      <c r="G16" s="68"/>
    </row>
    <row r="17" spans="1:7" ht="46.8" x14ac:dyDescent="0.3">
      <c r="A17" s="41"/>
      <c r="B17" s="19" t="s">
        <v>164</v>
      </c>
      <c r="C17" s="42"/>
      <c r="D17" s="42"/>
      <c r="E17" s="42"/>
      <c r="F17" s="65"/>
      <c r="G17" s="68"/>
    </row>
    <row r="18" spans="1:7" ht="31.2" x14ac:dyDescent="0.3">
      <c r="A18" s="41"/>
      <c r="B18" s="19" t="s">
        <v>104</v>
      </c>
      <c r="C18" s="42"/>
      <c r="D18" s="42"/>
      <c r="E18" s="42"/>
      <c r="F18" s="65"/>
      <c r="G18" s="68"/>
    </row>
    <row r="19" spans="1:7" ht="15.6" x14ac:dyDescent="0.3">
      <c r="A19" s="41"/>
      <c r="B19" s="18" t="s">
        <v>87</v>
      </c>
      <c r="C19" s="42"/>
      <c r="D19" s="42"/>
      <c r="E19" s="42"/>
      <c r="F19" s="65"/>
      <c r="G19" s="68"/>
    </row>
    <row r="20" spans="1:7" ht="15.6" x14ac:dyDescent="0.3">
      <c r="A20" s="41"/>
      <c r="B20" s="19" t="s">
        <v>165</v>
      </c>
      <c r="C20" s="1" t="s">
        <v>9</v>
      </c>
      <c r="D20" s="5">
        <f>0.02*D15</f>
        <v>1.8840000000000088E-6</v>
      </c>
      <c r="E20" s="5">
        <f>D20*'Исходные данные'!D2</f>
        <v>1.8840000000000088E-6</v>
      </c>
      <c r="F20" s="66"/>
      <c r="G20" s="69"/>
    </row>
    <row r="21" spans="1:7" ht="46.8" x14ac:dyDescent="0.3">
      <c r="A21" s="16">
        <v>2</v>
      </c>
      <c r="B21" s="19" t="s">
        <v>122</v>
      </c>
      <c r="C21" s="2" t="s">
        <v>51</v>
      </c>
      <c r="D21" s="3">
        <f>(3.14*((('Исходные данные'!B4+2)/2)^2-(('Исходные данные'!B4-2)/2)^2))*0.15/1000</f>
        <v>1.4130000000000065E-5</v>
      </c>
      <c r="E21" s="3">
        <f>D21*'Исходные данные'!D2</f>
        <v>1.4130000000000065E-5</v>
      </c>
      <c r="F21" s="64" t="s">
        <v>94</v>
      </c>
      <c r="G21" s="67" t="s">
        <v>91</v>
      </c>
    </row>
    <row r="22" spans="1:7" ht="15.6" x14ac:dyDescent="0.3">
      <c r="A22" s="16"/>
      <c r="B22" s="18" t="s">
        <v>88</v>
      </c>
      <c r="C22" s="2"/>
      <c r="D22" s="3"/>
      <c r="E22" s="3"/>
      <c r="F22" s="65"/>
      <c r="G22" s="68"/>
    </row>
    <row r="23" spans="1:7" ht="31.2" x14ac:dyDescent="0.3">
      <c r="A23" s="16"/>
      <c r="B23" s="19" t="s">
        <v>92</v>
      </c>
      <c r="C23" s="2"/>
      <c r="D23" s="3"/>
      <c r="E23" s="3"/>
      <c r="F23" s="66"/>
      <c r="G23" s="69"/>
    </row>
    <row r="24" spans="1:7" ht="15.6" x14ac:dyDescent="0.3">
      <c r="A24" s="16">
        <v>3</v>
      </c>
      <c r="B24" s="19" t="s">
        <v>168</v>
      </c>
      <c r="C24" s="2" t="s">
        <v>51</v>
      </c>
      <c r="D24" s="3">
        <f>D21+D15</f>
        <v>1.083300000000005E-4</v>
      </c>
      <c r="E24" s="3">
        <f>D24*'Исходные данные'!D2</f>
        <v>1.083300000000005E-4</v>
      </c>
      <c r="F24" s="64"/>
      <c r="G24" s="67" t="s">
        <v>167</v>
      </c>
    </row>
    <row r="25" spans="1:7" ht="15.6" x14ac:dyDescent="0.3">
      <c r="A25" s="16"/>
      <c r="B25" s="18" t="s">
        <v>88</v>
      </c>
      <c r="C25" s="2"/>
      <c r="D25" s="3"/>
      <c r="E25" s="3"/>
      <c r="F25" s="65"/>
      <c r="G25" s="68"/>
    </row>
    <row r="26" spans="1:7" ht="15.6" x14ac:dyDescent="0.3">
      <c r="A26" s="16"/>
      <c r="B26" s="19" t="s">
        <v>90</v>
      </c>
      <c r="C26" s="2"/>
      <c r="D26" s="3"/>
      <c r="E26" s="3"/>
      <c r="F26" s="66"/>
      <c r="G26" s="69"/>
    </row>
    <row r="27" spans="1:7" ht="31.5" customHeight="1" x14ac:dyDescent="0.3">
      <c r="A27" s="16">
        <v>4</v>
      </c>
      <c r="B27" s="17" t="s">
        <v>130</v>
      </c>
      <c r="C27" s="2" t="s">
        <v>52</v>
      </c>
      <c r="D27" s="3">
        <f>(3.14*((('Исходные данные'!B4+1)/2)^2-(('Исходные данные'!B4-1)/2)^2))*0.2</f>
        <v>9.4199999999999562E-3</v>
      </c>
      <c r="E27" s="3">
        <f>D27*'Исходные данные'!D2</f>
        <v>9.4199999999999562E-3</v>
      </c>
      <c r="F27" s="64" t="s">
        <v>95</v>
      </c>
      <c r="G27" s="67" t="s">
        <v>93</v>
      </c>
    </row>
    <row r="28" spans="1:7" ht="15.6" x14ac:dyDescent="0.3">
      <c r="A28" s="16"/>
      <c r="B28" s="18" t="s">
        <v>87</v>
      </c>
      <c r="C28" s="2"/>
      <c r="D28" s="3"/>
      <c r="E28" s="3"/>
      <c r="F28" s="65"/>
      <c r="G28" s="68"/>
    </row>
    <row r="29" spans="1:7" ht="15.6" x14ac:dyDescent="0.3">
      <c r="A29" s="16"/>
      <c r="B29" s="17" t="s">
        <v>96</v>
      </c>
      <c r="C29" s="2" t="s">
        <v>9</v>
      </c>
      <c r="D29" s="3">
        <f>D27*1.2</f>
        <v>1.1303999999999948E-2</v>
      </c>
      <c r="E29" s="3">
        <f>D29*'Исходные данные'!D2</f>
        <v>1.1303999999999948E-2</v>
      </c>
      <c r="F29" s="65"/>
      <c r="G29" s="68"/>
    </row>
    <row r="30" spans="1:7" ht="15.6" x14ac:dyDescent="0.3">
      <c r="A30" s="16"/>
      <c r="B30" s="17" t="s">
        <v>97</v>
      </c>
      <c r="C30" s="2" t="s">
        <v>9</v>
      </c>
      <c r="D30" s="3">
        <f>D27*0.15</f>
        <v>1.4129999999999935E-3</v>
      </c>
      <c r="E30" s="3">
        <f>D30*'Исходные данные'!D2</f>
        <v>1.4129999999999935E-3</v>
      </c>
      <c r="F30" s="65"/>
      <c r="G30" s="68"/>
    </row>
    <row r="31" spans="1:7" ht="15.6" x14ac:dyDescent="0.3">
      <c r="A31" s="16"/>
      <c r="B31" s="18" t="s">
        <v>88</v>
      </c>
      <c r="C31" s="2"/>
      <c r="D31" s="3"/>
      <c r="E31" s="3"/>
      <c r="F31" s="65"/>
      <c r="G31" s="68"/>
    </row>
    <row r="32" spans="1:7" ht="31.2" x14ac:dyDescent="0.3">
      <c r="A32" s="16"/>
      <c r="B32" s="19" t="s">
        <v>98</v>
      </c>
      <c r="C32" s="2"/>
      <c r="D32" s="3"/>
      <c r="E32" s="3"/>
      <c r="F32" s="65"/>
      <c r="G32" s="68"/>
    </row>
    <row r="33" spans="1:7" ht="46.8" x14ac:dyDescent="0.3">
      <c r="A33" s="16"/>
      <c r="B33" s="19" t="s">
        <v>99</v>
      </c>
      <c r="C33" s="2"/>
      <c r="D33" s="3"/>
      <c r="E33" s="3"/>
      <c r="F33" s="65"/>
      <c r="G33" s="68"/>
    </row>
    <row r="34" spans="1:7" ht="31.2" x14ac:dyDescent="0.3">
      <c r="A34" s="16"/>
      <c r="B34" s="19" t="s">
        <v>100</v>
      </c>
      <c r="C34" s="2"/>
      <c r="D34" s="3"/>
      <c r="E34" s="3"/>
      <c r="F34" s="66"/>
      <c r="G34" s="69"/>
    </row>
    <row r="35" spans="1:7" ht="15.6" x14ac:dyDescent="0.3">
      <c r="A35" s="16">
        <v>5</v>
      </c>
      <c r="B35" s="17" t="s">
        <v>131</v>
      </c>
      <c r="C35" s="2" t="s">
        <v>53</v>
      </c>
      <c r="D35" s="3">
        <f>D27/100</f>
        <v>9.4199999999999566E-5</v>
      </c>
      <c r="E35" s="3">
        <f>D35*'Исходные данные'!D2</f>
        <v>9.4199999999999566E-5</v>
      </c>
      <c r="F35" s="64" t="s">
        <v>107</v>
      </c>
      <c r="G35" s="67" t="s">
        <v>102</v>
      </c>
    </row>
    <row r="36" spans="1:7" ht="15.6" x14ac:dyDescent="0.3">
      <c r="A36" s="16"/>
      <c r="B36" s="18" t="s">
        <v>88</v>
      </c>
      <c r="C36" s="2"/>
      <c r="D36" s="3"/>
      <c r="E36" s="3"/>
      <c r="F36" s="65"/>
      <c r="G36" s="68"/>
    </row>
    <row r="37" spans="1:7" ht="15.6" x14ac:dyDescent="0.3">
      <c r="A37" s="16"/>
      <c r="B37" s="17" t="s">
        <v>101</v>
      </c>
      <c r="C37" s="2"/>
      <c r="D37" s="3"/>
      <c r="E37" s="3"/>
      <c r="F37" s="66"/>
      <c r="G37" s="69"/>
    </row>
    <row r="38" spans="1:7" ht="15.6" x14ac:dyDescent="0.3">
      <c r="A38" s="16">
        <v>6</v>
      </c>
      <c r="B38" s="17" t="s">
        <v>132</v>
      </c>
      <c r="C38" s="2" t="s">
        <v>54</v>
      </c>
      <c r="D38" s="3">
        <f>(3.14*((('Исходные данные'!B4+1)/2)^2-(('Исходные данные'!B4-2)/2)^1))/1000</f>
        <v>3.9251766250000004E-3</v>
      </c>
      <c r="E38" s="3">
        <f>D38*'Исходные данные'!D2</f>
        <v>3.9251766250000004E-3</v>
      </c>
      <c r="F38" s="64" t="s">
        <v>108</v>
      </c>
      <c r="G38" s="67" t="s">
        <v>103</v>
      </c>
    </row>
    <row r="39" spans="1:7" ht="15.6" x14ac:dyDescent="0.3">
      <c r="A39" s="16"/>
      <c r="B39" s="18" t="s">
        <v>87</v>
      </c>
      <c r="C39" s="2"/>
      <c r="D39" s="3"/>
      <c r="E39" s="3"/>
      <c r="F39" s="65"/>
      <c r="G39" s="68"/>
    </row>
    <row r="40" spans="1:7" ht="15.6" x14ac:dyDescent="0.3">
      <c r="A40" s="16"/>
      <c r="B40" s="17" t="s">
        <v>106</v>
      </c>
      <c r="C40" s="2" t="s">
        <v>3</v>
      </c>
      <c r="D40" s="43">
        <f>0.00013*D38</f>
        <v>5.1027296125000005E-7</v>
      </c>
      <c r="E40" s="43">
        <f>D40*'Исходные данные'!D2</f>
        <v>5.1027296125000005E-7</v>
      </c>
      <c r="F40" s="65"/>
      <c r="G40" s="68"/>
    </row>
    <row r="41" spans="1:7" ht="15.6" x14ac:dyDescent="0.3">
      <c r="A41" s="16"/>
      <c r="B41" s="19" t="s">
        <v>59</v>
      </c>
      <c r="C41" s="2" t="s">
        <v>48</v>
      </c>
      <c r="D41" s="3">
        <f>D38*100</f>
        <v>0.39251766250000003</v>
      </c>
      <c r="E41" s="3">
        <f>D41*'Исходные данные'!D2</f>
        <v>0.39251766250000003</v>
      </c>
      <c r="F41" s="65"/>
      <c r="G41" s="68"/>
    </row>
    <row r="42" spans="1:7" ht="15.6" x14ac:dyDescent="0.3">
      <c r="A42" s="16"/>
      <c r="B42" s="18" t="s">
        <v>88</v>
      </c>
      <c r="C42" s="2"/>
      <c r="D42" s="3"/>
      <c r="E42" s="3"/>
      <c r="F42" s="65"/>
      <c r="G42" s="68"/>
    </row>
    <row r="43" spans="1:7" ht="31.2" x14ac:dyDescent="0.3">
      <c r="A43" s="16"/>
      <c r="B43" s="19" t="s">
        <v>104</v>
      </c>
      <c r="C43" s="2"/>
      <c r="D43" s="3"/>
      <c r="E43" s="3"/>
      <c r="F43" s="65"/>
      <c r="G43" s="68"/>
    </row>
    <row r="44" spans="1:7" ht="15.6" x14ac:dyDescent="0.3">
      <c r="A44" s="16"/>
      <c r="B44" s="17" t="s">
        <v>105</v>
      </c>
      <c r="C44" s="2"/>
      <c r="D44" s="3"/>
      <c r="E44" s="3"/>
      <c r="F44" s="65"/>
      <c r="G44" s="68"/>
    </row>
    <row r="45" spans="1:7" ht="15.6" x14ac:dyDescent="0.3">
      <c r="A45" s="16"/>
      <c r="B45" s="17" t="s">
        <v>90</v>
      </c>
      <c r="C45" s="2"/>
      <c r="D45" s="3"/>
      <c r="E45" s="3"/>
      <c r="F45" s="66"/>
      <c r="G45" s="69"/>
    </row>
    <row r="46" spans="1:7" ht="15.6" x14ac:dyDescent="0.3">
      <c r="A46" s="16">
        <v>7</v>
      </c>
      <c r="B46" s="1" t="s">
        <v>133</v>
      </c>
      <c r="C46" s="2" t="s">
        <v>52</v>
      </c>
      <c r="D46" s="3">
        <f>(3.14*((('Исходные данные'!B4+2)/2)^2-(('Исходные данные'!B4-2)/2)^2))*0.1</f>
        <v>9.4200000000000447E-3</v>
      </c>
      <c r="E46" s="3">
        <f>D46*'Исходные данные'!D2</f>
        <v>9.4200000000000447E-3</v>
      </c>
      <c r="F46" s="64" t="s">
        <v>107</v>
      </c>
      <c r="G46" s="67" t="s">
        <v>109</v>
      </c>
    </row>
    <row r="47" spans="1:7" ht="15.6" x14ac:dyDescent="0.3">
      <c r="A47" s="16"/>
      <c r="B47" s="18" t="s">
        <v>87</v>
      </c>
      <c r="C47" s="2"/>
      <c r="D47" s="3"/>
      <c r="E47" s="3"/>
      <c r="F47" s="65"/>
      <c r="G47" s="68"/>
    </row>
    <row r="48" spans="1:7" ht="15.6" x14ac:dyDescent="0.3">
      <c r="A48" s="16"/>
      <c r="B48" s="17" t="s">
        <v>110</v>
      </c>
      <c r="C48" s="2" t="s">
        <v>9</v>
      </c>
      <c r="D48" s="3">
        <f>D46*1.3</f>
        <v>1.2246000000000059E-2</v>
      </c>
      <c r="E48" s="3">
        <f>D48*'Исходные данные'!D2</f>
        <v>1.2246000000000059E-2</v>
      </c>
      <c r="F48" s="65"/>
      <c r="G48" s="68"/>
    </row>
    <row r="49" spans="1:7" ht="15.6" x14ac:dyDescent="0.3">
      <c r="A49" s="16"/>
      <c r="B49" s="17" t="s">
        <v>111</v>
      </c>
      <c r="C49" s="2" t="s">
        <v>9</v>
      </c>
      <c r="D49" s="3">
        <f>D46*0.15</f>
        <v>1.4130000000000067E-3</v>
      </c>
      <c r="E49" s="3">
        <f>D49*'Исходные данные'!D2</f>
        <v>1.4130000000000067E-3</v>
      </c>
      <c r="F49" s="65"/>
      <c r="G49" s="68"/>
    </row>
    <row r="50" spans="1:7" ht="15.6" x14ac:dyDescent="0.3">
      <c r="A50" s="16"/>
      <c r="B50" s="18" t="s">
        <v>88</v>
      </c>
      <c r="C50" s="2"/>
      <c r="D50" s="3"/>
      <c r="E50" s="3"/>
      <c r="F50" s="65"/>
      <c r="G50" s="68"/>
    </row>
    <row r="51" spans="1:7" ht="31.2" x14ac:dyDescent="0.3">
      <c r="A51" s="16"/>
      <c r="B51" s="44" t="s">
        <v>98</v>
      </c>
      <c r="C51" s="2"/>
      <c r="D51" s="3"/>
      <c r="E51" s="3"/>
      <c r="F51" s="65"/>
      <c r="G51" s="68"/>
    </row>
    <row r="52" spans="1:7" ht="46.8" x14ac:dyDescent="0.3">
      <c r="A52" s="16"/>
      <c r="B52" s="44" t="s">
        <v>99</v>
      </c>
      <c r="C52" s="2"/>
      <c r="D52" s="3"/>
      <c r="E52" s="3"/>
      <c r="F52" s="65"/>
      <c r="G52" s="68"/>
    </row>
    <row r="53" spans="1:7" ht="31.2" x14ac:dyDescent="0.3">
      <c r="A53" s="16"/>
      <c r="B53" s="44" t="s">
        <v>100</v>
      </c>
      <c r="C53" s="2"/>
      <c r="D53" s="3"/>
      <c r="E53" s="3"/>
      <c r="F53" s="66"/>
      <c r="G53" s="69"/>
    </row>
    <row r="54" spans="1:7" ht="15.6" x14ac:dyDescent="0.3">
      <c r="A54" s="16">
        <v>8</v>
      </c>
      <c r="B54" s="17" t="s">
        <v>131</v>
      </c>
      <c r="C54" s="2" t="s">
        <v>53</v>
      </c>
      <c r="D54" s="3">
        <f>D46/100</f>
        <v>9.4200000000000447E-5</v>
      </c>
      <c r="E54" s="3">
        <f>D54*'Исходные данные'!D2</f>
        <v>9.4200000000000447E-5</v>
      </c>
      <c r="F54" s="64" t="s">
        <v>107</v>
      </c>
      <c r="G54" s="67" t="s">
        <v>102</v>
      </c>
    </row>
    <row r="55" spans="1:7" ht="15.6" x14ac:dyDescent="0.3">
      <c r="A55" s="16"/>
      <c r="B55" s="18" t="s">
        <v>88</v>
      </c>
      <c r="C55" s="2"/>
      <c r="D55" s="3"/>
      <c r="E55" s="3"/>
      <c r="F55" s="65"/>
      <c r="G55" s="68"/>
    </row>
    <row r="56" spans="1:7" ht="15.6" x14ac:dyDescent="0.3">
      <c r="A56" s="16"/>
      <c r="B56" s="17" t="s">
        <v>101</v>
      </c>
      <c r="C56" s="2"/>
      <c r="D56" s="3"/>
      <c r="E56" s="3"/>
      <c r="F56" s="66"/>
      <c r="G56" s="69"/>
    </row>
    <row r="57" spans="1:7" ht="15.6" x14ac:dyDescent="0.3">
      <c r="A57" s="52" t="s">
        <v>120</v>
      </c>
      <c r="B57" s="53"/>
      <c r="C57" s="53"/>
      <c r="D57" s="53"/>
      <c r="E57" s="53"/>
      <c r="F57" s="53"/>
      <c r="G57" s="54"/>
    </row>
    <row r="58" spans="1:7" ht="31.2" x14ac:dyDescent="0.3">
      <c r="A58" s="16">
        <v>1</v>
      </c>
      <c r="B58" s="19" t="s">
        <v>55</v>
      </c>
      <c r="C58" s="2" t="s">
        <v>46</v>
      </c>
      <c r="D58" s="3">
        <f>(3.14*((('Исходные данные'!B4+1)/2)^2-(('Исходные данные'!B4-1)/2)^2))*0.5/10</f>
        <v>2.354999999999989E-3</v>
      </c>
      <c r="E58" s="3">
        <f>D58*'Исходные данные'!D2</f>
        <v>2.354999999999989E-3</v>
      </c>
      <c r="F58" s="64" t="s">
        <v>47</v>
      </c>
      <c r="G58" s="67" t="s">
        <v>118</v>
      </c>
    </row>
    <row r="59" spans="1:7" ht="15.6" x14ac:dyDescent="0.3">
      <c r="A59" s="16"/>
      <c r="B59" s="18" t="s">
        <v>87</v>
      </c>
      <c r="C59" s="2"/>
      <c r="D59" s="3"/>
      <c r="E59" s="3"/>
      <c r="F59" s="65"/>
      <c r="G59" s="68"/>
    </row>
    <row r="60" spans="1:7" ht="15.6" x14ac:dyDescent="0.3">
      <c r="A60" s="16"/>
      <c r="B60" s="19" t="s">
        <v>59</v>
      </c>
      <c r="C60" s="1" t="s">
        <v>48</v>
      </c>
      <c r="D60" s="3">
        <f>2.5*D58</f>
        <v>5.8874999999999726E-3</v>
      </c>
      <c r="E60" s="3">
        <f>D60*'Исходные данные'!$D$2</f>
        <v>5.8874999999999726E-3</v>
      </c>
      <c r="F60" s="65"/>
      <c r="G60" s="68"/>
    </row>
    <row r="61" spans="1:7" ht="31.2" x14ac:dyDescent="0.3">
      <c r="A61" s="16"/>
      <c r="B61" s="19" t="s">
        <v>49</v>
      </c>
      <c r="C61" s="1" t="s">
        <v>3</v>
      </c>
      <c r="D61" s="3">
        <f>0.0115*D58</f>
        <v>2.7082499999999875E-5</v>
      </c>
      <c r="E61" s="3">
        <f>D61*'Исходные данные'!$D$2</f>
        <v>2.7082499999999875E-5</v>
      </c>
      <c r="F61" s="65"/>
      <c r="G61" s="68"/>
    </row>
    <row r="62" spans="1:7" ht="46.8" x14ac:dyDescent="0.3">
      <c r="A62" s="16"/>
      <c r="B62" s="19" t="s">
        <v>50</v>
      </c>
      <c r="C62" s="1" t="s">
        <v>3</v>
      </c>
      <c r="D62" s="3">
        <f>0.095*D58</f>
        <v>2.2372499999999897E-4</v>
      </c>
      <c r="E62" s="3">
        <f>D62*'Исходные данные'!$D$2</f>
        <v>2.2372499999999897E-4</v>
      </c>
      <c r="F62" s="65"/>
      <c r="G62" s="68"/>
    </row>
    <row r="63" spans="1:7" ht="15.6" x14ac:dyDescent="0.3">
      <c r="A63" s="16"/>
      <c r="B63" s="17" t="s">
        <v>56</v>
      </c>
      <c r="C63" s="1" t="s">
        <v>9</v>
      </c>
      <c r="D63" s="3">
        <f>D58*10.5</f>
        <v>2.4727499999999885E-2</v>
      </c>
      <c r="E63" s="3">
        <f>D63*'Исходные данные'!$D$2</f>
        <v>2.4727499999999885E-2</v>
      </c>
      <c r="F63" s="65"/>
      <c r="G63" s="68"/>
    </row>
    <row r="64" spans="1:7" ht="15.6" x14ac:dyDescent="0.3">
      <c r="A64" s="16"/>
      <c r="B64" s="17" t="s">
        <v>57</v>
      </c>
      <c r="C64" s="1" t="s">
        <v>58</v>
      </c>
      <c r="D64" s="3">
        <f>3.14*('Исходные данные'!B4+1)*2.11</f>
        <v>6.7247809999999983</v>
      </c>
      <c r="E64" s="3">
        <f>D64*'Исходные данные'!$D$2</f>
        <v>6.7247809999999983</v>
      </c>
      <c r="F64" s="65"/>
      <c r="G64" s="68"/>
    </row>
    <row r="65" spans="1:7" ht="15.6" x14ac:dyDescent="0.3">
      <c r="A65" s="16"/>
      <c r="B65" s="18" t="s">
        <v>88</v>
      </c>
      <c r="C65" s="1"/>
      <c r="D65" s="3"/>
      <c r="E65" s="3"/>
      <c r="F65" s="65"/>
      <c r="G65" s="68"/>
    </row>
    <row r="66" spans="1:7" ht="31.2" x14ac:dyDescent="0.3">
      <c r="A66" s="16"/>
      <c r="B66" s="19" t="s">
        <v>113</v>
      </c>
      <c r="C66" s="1"/>
      <c r="D66" s="3"/>
      <c r="E66" s="3"/>
      <c r="F66" s="65"/>
      <c r="G66" s="68"/>
    </row>
    <row r="67" spans="1:7" ht="15.6" x14ac:dyDescent="0.3">
      <c r="A67" s="16"/>
      <c r="B67" s="17" t="s">
        <v>114</v>
      </c>
      <c r="C67" s="1"/>
      <c r="D67" s="3"/>
      <c r="E67" s="3"/>
      <c r="F67" s="65"/>
      <c r="G67" s="68"/>
    </row>
    <row r="68" spans="1:7" ht="46.8" x14ac:dyDescent="0.3">
      <c r="A68" s="16"/>
      <c r="B68" s="19" t="s">
        <v>115</v>
      </c>
      <c r="C68" s="1"/>
      <c r="D68" s="3"/>
      <c r="E68" s="3"/>
      <c r="F68" s="65"/>
      <c r="G68" s="68"/>
    </row>
    <row r="69" spans="1:7" ht="31.2" x14ac:dyDescent="0.3">
      <c r="A69" s="16"/>
      <c r="B69" s="19" t="s">
        <v>116</v>
      </c>
      <c r="C69" s="1"/>
      <c r="D69" s="3"/>
      <c r="E69" s="3"/>
      <c r="F69" s="65"/>
      <c r="G69" s="68"/>
    </row>
    <row r="70" spans="1:7" ht="31.2" x14ac:dyDescent="0.3">
      <c r="A70" s="16"/>
      <c r="B70" s="19" t="s">
        <v>100</v>
      </c>
      <c r="C70" s="1"/>
      <c r="D70" s="3"/>
      <c r="E70" s="3"/>
      <c r="F70" s="65"/>
      <c r="G70" s="68"/>
    </row>
    <row r="71" spans="1:7" ht="15.6" x14ac:dyDescent="0.3">
      <c r="A71" s="16"/>
      <c r="B71" s="19" t="s">
        <v>90</v>
      </c>
      <c r="C71" s="1"/>
      <c r="D71" s="3"/>
      <c r="E71" s="3"/>
      <c r="F71" s="65"/>
      <c r="G71" s="68"/>
    </row>
    <row r="72" spans="1:7" ht="15.6" x14ac:dyDescent="0.3">
      <c r="A72" s="16"/>
      <c r="B72" s="17" t="s">
        <v>117</v>
      </c>
      <c r="C72" s="1"/>
      <c r="D72" s="3"/>
      <c r="E72" s="3"/>
      <c r="F72" s="66"/>
      <c r="G72" s="69"/>
    </row>
    <row r="73" spans="1:7" ht="15.6" x14ac:dyDescent="0.3">
      <c r="A73" s="52" t="s">
        <v>121</v>
      </c>
      <c r="B73" s="53"/>
      <c r="C73" s="53"/>
      <c r="D73" s="53"/>
      <c r="E73" s="53"/>
      <c r="F73" s="53"/>
      <c r="G73" s="54"/>
    </row>
    <row r="74" spans="1:7" ht="43.5" customHeight="1" x14ac:dyDescent="0.3">
      <c r="A74" s="16">
        <v>1</v>
      </c>
      <c r="B74" s="19" t="s">
        <v>191</v>
      </c>
      <c r="C74" s="2" t="s">
        <v>15</v>
      </c>
      <c r="D74" s="3">
        <f>'Исходные данные'!H11</f>
        <v>1.3786400000000001</v>
      </c>
      <c r="E74" s="3">
        <f>D74*'Исходные данные'!$D$2</f>
        <v>1.3786400000000001</v>
      </c>
      <c r="F74" s="64" t="s">
        <v>19</v>
      </c>
      <c r="G74" s="67"/>
    </row>
    <row r="75" spans="1:7" ht="19.5" customHeight="1" x14ac:dyDescent="0.3">
      <c r="A75" s="16"/>
      <c r="B75" s="18" t="s">
        <v>87</v>
      </c>
      <c r="C75" s="2"/>
      <c r="D75" s="3"/>
      <c r="E75" s="3"/>
      <c r="F75" s="65"/>
      <c r="G75" s="68"/>
    </row>
    <row r="76" spans="1:7" ht="15.6" x14ac:dyDescent="0.3">
      <c r="A76" s="16"/>
      <c r="B76" s="19" t="s">
        <v>16</v>
      </c>
      <c r="C76" s="2" t="s">
        <v>17</v>
      </c>
      <c r="D76" s="3">
        <f>D74</f>
        <v>1.3786400000000001</v>
      </c>
      <c r="E76" s="3">
        <f>D76*'Исходные данные'!$D$2</f>
        <v>1.3786400000000001</v>
      </c>
      <c r="F76" s="65"/>
      <c r="G76" s="68"/>
    </row>
    <row r="77" spans="1:7" ht="15.6" x14ac:dyDescent="0.3">
      <c r="A77" s="16"/>
      <c r="B77" s="18" t="s">
        <v>88</v>
      </c>
      <c r="C77" s="2"/>
      <c r="D77" s="3"/>
      <c r="E77" s="3"/>
      <c r="F77" s="65"/>
      <c r="G77" s="68"/>
    </row>
    <row r="78" spans="1:7" ht="31.2" x14ac:dyDescent="0.3">
      <c r="A78" s="16"/>
      <c r="B78" s="19" t="s">
        <v>113</v>
      </c>
      <c r="C78" s="2"/>
      <c r="D78" s="3"/>
      <c r="E78" s="3"/>
      <c r="F78" s="65"/>
      <c r="G78" s="68"/>
    </row>
    <row r="79" spans="1:7" ht="15.6" x14ac:dyDescent="0.3">
      <c r="A79" s="16"/>
      <c r="B79" s="21" t="s">
        <v>144</v>
      </c>
      <c r="C79" s="2"/>
      <c r="D79" s="3"/>
      <c r="E79" s="3"/>
      <c r="F79" s="65"/>
      <c r="G79" s="68"/>
    </row>
    <row r="80" spans="1:7" ht="15.6" x14ac:dyDescent="0.3">
      <c r="A80" s="16"/>
      <c r="B80" s="17" t="s">
        <v>90</v>
      </c>
      <c r="C80" s="2"/>
      <c r="D80" s="3"/>
      <c r="E80" s="3"/>
      <c r="F80" s="65"/>
      <c r="G80" s="68"/>
    </row>
    <row r="81" spans="1:7" ht="15.6" x14ac:dyDescent="0.3">
      <c r="A81" s="16"/>
      <c r="B81" s="17" t="s">
        <v>134</v>
      </c>
      <c r="C81" s="2"/>
      <c r="D81" s="3"/>
      <c r="E81" s="3"/>
      <c r="F81" s="65"/>
      <c r="G81" s="68"/>
    </row>
    <row r="82" spans="1:7" ht="45.75" customHeight="1" x14ac:dyDescent="0.3">
      <c r="A82" s="16">
        <v>2</v>
      </c>
      <c r="B82" s="19" t="s">
        <v>64</v>
      </c>
      <c r="C82" s="2" t="s">
        <v>15</v>
      </c>
      <c r="D82" s="3">
        <f>'Исходные данные'!H12</f>
        <v>9.2446399999999986</v>
      </c>
      <c r="E82" s="3">
        <f>D82*'Исходные данные'!$D$2</f>
        <v>9.2446399999999986</v>
      </c>
      <c r="F82" s="65"/>
      <c r="G82" s="68"/>
    </row>
    <row r="83" spans="1:7" ht="21" customHeight="1" x14ac:dyDescent="0.3">
      <c r="A83" s="16"/>
      <c r="B83" s="18" t="s">
        <v>87</v>
      </c>
      <c r="C83" s="2"/>
      <c r="D83" s="3"/>
      <c r="E83" s="3"/>
      <c r="F83" s="65"/>
      <c r="G83" s="68"/>
    </row>
    <row r="84" spans="1:7" ht="15.6" x14ac:dyDescent="0.3">
      <c r="A84" s="16"/>
      <c r="B84" s="19" t="s">
        <v>16</v>
      </c>
      <c r="C84" s="2" t="s">
        <v>17</v>
      </c>
      <c r="D84" s="3">
        <f>D82</f>
        <v>9.2446399999999986</v>
      </c>
      <c r="E84" s="3">
        <f>D84*'Исходные данные'!$D$2</f>
        <v>9.2446399999999986</v>
      </c>
      <c r="F84" s="65"/>
      <c r="G84" s="68"/>
    </row>
    <row r="85" spans="1:7" ht="15.6" x14ac:dyDescent="0.3">
      <c r="A85" s="16"/>
      <c r="B85" s="18" t="s">
        <v>88</v>
      </c>
      <c r="C85" s="2"/>
      <c r="D85" s="3"/>
      <c r="E85" s="3"/>
      <c r="F85" s="65"/>
      <c r="G85" s="68"/>
    </row>
    <row r="86" spans="1:7" ht="31.2" x14ac:dyDescent="0.3">
      <c r="A86" s="16"/>
      <c r="B86" s="19" t="s">
        <v>113</v>
      </c>
      <c r="C86" s="2"/>
      <c r="D86" s="3"/>
      <c r="E86" s="3"/>
      <c r="F86" s="65"/>
      <c r="G86" s="68"/>
    </row>
    <row r="87" spans="1:7" ht="15.6" x14ac:dyDescent="0.3">
      <c r="A87" s="16"/>
      <c r="B87" s="19" t="s">
        <v>144</v>
      </c>
      <c r="C87" s="2"/>
      <c r="D87" s="3"/>
      <c r="E87" s="3"/>
      <c r="F87" s="65"/>
      <c r="G87" s="68"/>
    </row>
    <row r="88" spans="1:7" ht="15.6" x14ac:dyDescent="0.3">
      <c r="A88" s="16"/>
      <c r="B88" s="17" t="s">
        <v>90</v>
      </c>
      <c r="C88" s="2"/>
      <c r="D88" s="3"/>
      <c r="E88" s="3"/>
      <c r="F88" s="65"/>
      <c r="G88" s="68"/>
    </row>
    <row r="89" spans="1:7" ht="15.6" x14ac:dyDescent="0.3">
      <c r="A89" s="16"/>
      <c r="B89" s="17" t="s">
        <v>134</v>
      </c>
      <c r="C89" s="2"/>
      <c r="D89" s="3"/>
      <c r="E89" s="3"/>
      <c r="F89" s="65"/>
      <c r="G89" s="68"/>
    </row>
    <row r="90" spans="1:7" ht="46.8" x14ac:dyDescent="0.3">
      <c r="A90" s="16">
        <v>3</v>
      </c>
      <c r="B90" s="19" t="s">
        <v>63</v>
      </c>
      <c r="C90" s="2" t="s">
        <v>15</v>
      </c>
      <c r="D90" s="3">
        <f>'Исходные данные'!H13</f>
        <v>1.83464</v>
      </c>
      <c r="E90" s="3">
        <f>D90*'Исходные данные'!$D$2</f>
        <v>1.83464</v>
      </c>
      <c r="F90" s="65"/>
      <c r="G90" s="68"/>
    </row>
    <row r="91" spans="1:7" ht="15.6" x14ac:dyDescent="0.3">
      <c r="A91" s="16"/>
      <c r="B91" s="18" t="s">
        <v>87</v>
      </c>
      <c r="C91" s="2"/>
      <c r="D91" s="3"/>
      <c r="E91" s="3"/>
      <c r="F91" s="65"/>
      <c r="G91" s="68"/>
    </row>
    <row r="92" spans="1:7" ht="15.6" x14ac:dyDescent="0.3">
      <c r="A92" s="16"/>
      <c r="B92" s="19" t="s">
        <v>16</v>
      </c>
      <c r="C92" s="2" t="s">
        <v>17</v>
      </c>
      <c r="D92" s="3">
        <f>D90</f>
        <v>1.83464</v>
      </c>
      <c r="E92" s="3">
        <f>D92*'Исходные данные'!$D$2</f>
        <v>1.83464</v>
      </c>
      <c r="F92" s="65"/>
      <c r="G92" s="68"/>
    </row>
    <row r="93" spans="1:7" ht="15.6" x14ac:dyDescent="0.3">
      <c r="A93" s="16"/>
      <c r="B93" s="18" t="s">
        <v>88</v>
      </c>
      <c r="C93" s="2"/>
      <c r="D93" s="3"/>
      <c r="E93" s="3"/>
      <c r="F93" s="65"/>
      <c r="G93" s="68"/>
    </row>
    <row r="94" spans="1:7" ht="31.2" x14ac:dyDescent="0.3">
      <c r="A94" s="16"/>
      <c r="B94" s="19" t="s">
        <v>113</v>
      </c>
      <c r="C94" s="2"/>
      <c r="D94" s="3"/>
      <c r="E94" s="3"/>
      <c r="F94" s="65"/>
      <c r="G94" s="68"/>
    </row>
    <row r="95" spans="1:7" ht="15.6" x14ac:dyDescent="0.3">
      <c r="A95" s="16"/>
      <c r="B95" s="19" t="s">
        <v>144</v>
      </c>
      <c r="C95" s="2"/>
      <c r="D95" s="3"/>
      <c r="E95" s="3"/>
      <c r="F95" s="65"/>
      <c r="G95" s="68"/>
    </row>
    <row r="96" spans="1:7" ht="15.6" x14ac:dyDescent="0.3">
      <c r="A96" s="16"/>
      <c r="B96" s="17" t="s">
        <v>90</v>
      </c>
      <c r="C96" s="2"/>
      <c r="D96" s="3"/>
      <c r="E96" s="3"/>
      <c r="F96" s="65"/>
      <c r="G96" s="68"/>
    </row>
    <row r="97" spans="1:7" ht="15.6" x14ac:dyDescent="0.3">
      <c r="A97" s="16"/>
      <c r="B97" s="17" t="s">
        <v>134</v>
      </c>
      <c r="C97" s="2"/>
      <c r="D97" s="3"/>
      <c r="E97" s="3"/>
      <c r="F97" s="65"/>
      <c r="G97" s="68"/>
    </row>
    <row r="98" spans="1:7" ht="54.75" customHeight="1" x14ac:dyDescent="0.3">
      <c r="A98" s="16">
        <v>4</v>
      </c>
      <c r="B98" s="19" t="s">
        <v>65</v>
      </c>
      <c r="C98" s="2" t="s">
        <v>15</v>
      </c>
      <c r="D98" s="3">
        <f>'Исходные данные'!H14</f>
        <v>2.26024</v>
      </c>
      <c r="E98" s="3">
        <f>D98*'Исходные данные'!$D$2</f>
        <v>2.26024</v>
      </c>
      <c r="F98" s="65"/>
      <c r="G98" s="68"/>
    </row>
    <row r="99" spans="1:7" ht="15" customHeight="1" x14ac:dyDescent="0.3">
      <c r="A99" s="16"/>
      <c r="B99" s="18" t="s">
        <v>87</v>
      </c>
      <c r="C99" s="2"/>
      <c r="D99" s="3"/>
      <c r="E99" s="3"/>
      <c r="F99" s="65"/>
      <c r="G99" s="68"/>
    </row>
    <row r="100" spans="1:7" ht="15.6" x14ac:dyDescent="0.3">
      <c r="A100" s="16"/>
      <c r="B100" s="19" t="s">
        <v>16</v>
      </c>
      <c r="C100" s="2" t="s">
        <v>17</v>
      </c>
      <c r="D100" s="3">
        <f>D98</f>
        <v>2.26024</v>
      </c>
      <c r="E100" s="3">
        <f>D100*'Исходные данные'!$D$2</f>
        <v>2.26024</v>
      </c>
      <c r="F100" s="65"/>
      <c r="G100" s="68"/>
    </row>
    <row r="101" spans="1:7" ht="15.6" x14ac:dyDescent="0.3">
      <c r="A101" s="16"/>
      <c r="B101" s="18" t="s">
        <v>88</v>
      </c>
      <c r="C101" s="2"/>
      <c r="D101" s="5"/>
      <c r="E101" s="5"/>
      <c r="F101" s="65"/>
      <c r="G101" s="68"/>
    </row>
    <row r="102" spans="1:7" ht="31.2" x14ac:dyDescent="0.3">
      <c r="A102" s="16"/>
      <c r="B102" s="19" t="s">
        <v>113</v>
      </c>
      <c r="C102" s="2"/>
      <c r="D102" s="5"/>
      <c r="E102" s="5"/>
      <c r="F102" s="65"/>
      <c r="G102" s="68"/>
    </row>
    <row r="103" spans="1:7" ht="15.6" x14ac:dyDescent="0.3">
      <c r="A103" s="16"/>
      <c r="B103" s="19" t="s">
        <v>144</v>
      </c>
      <c r="C103" s="2"/>
      <c r="D103" s="5"/>
      <c r="E103" s="5"/>
      <c r="F103" s="65"/>
      <c r="G103" s="68"/>
    </row>
    <row r="104" spans="1:7" ht="15.6" x14ac:dyDescent="0.3">
      <c r="A104" s="16"/>
      <c r="B104" s="17" t="s">
        <v>90</v>
      </c>
      <c r="C104" s="2"/>
      <c r="D104" s="5"/>
      <c r="E104" s="5"/>
      <c r="F104" s="65"/>
      <c r="G104" s="68"/>
    </row>
    <row r="105" spans="1:7" ht="15.6" x14ac:dyDescent="0.3">
      <c r="A105" s="16"/>
      <c r="B105" s="17" t="s">
        <v>134</v>
      </c>
      <c r="C105" s="2"/>
      <c r="D105" s="5"/>
      <c r="E105" s="5"/>
      <c r="F105" s="65"/>
      <c r="G105" s="68"/>
    </row>
    <row r="106" spans="1:7" ht="46.8" x14ac:dyDescent="0.3">
      <c r="A106" s="16">
        <v>5</v>
      </c>
      <c r="B106" s="19" t="s">
        <v>66</v>
      </c>
      <c r="C106" s="2" t="s">
        <v>15</v>
      </c>
      <c r="D106" s="3">
        <f>'Исходные данные'!H15</f>
        <v>0.48183999999999994</v>
      </c>
      <c r="E106" s="3">
        <f>D106*'Исходные данные'!$D$2</f>
        <v>0.48183999999999994</v>
      </c>
      <c r="F106" s="65"/>
      <c r="G106" s="68"/>
    </row>
    <row r="107" spans="1:7" ht="15.6" x14ac:dyDescent="0.3">
      <c r="A107" s="16"/>
      <c r="B107" s="18" t="s">
        <v>87</v>
      </c>
      <c r="C107" s="2"/>
      <c r="D107" s="3"/>
      <c r="E107" s="3"/>
      <c r="F107" s="65"/>
      <c r="G107" s="68"/>
    </row>
    <row r="108" spans="1:7" ht="15.6" x14ac:dyDescent="0.3">
      <c r="A108" s="16"/>
      <c r="B108" s="19" t="s">
        <v>16</v>
      </c>
      <c r="C108" s="2" t="s">
        <v>17</v>
      </c>
      <c r="D108" s="3">
        <f>D106</f>
        <v>0.48183999999999994</v>
      </c>
      <c r="E108" s="3">
        <f>D108*'Исходные данные'!$D$2</f>
        <v>0.48183999999999994</v>
      </c>
      <c r="F108" s="65"/>
      <c r="G108" s="68"/>
    </row>
    <row r="109" spans="1:7" ht="15.6" x14ac:dyDescent="0.3">
      <c r="A109" s="16"/>
      <c r="B109" s="18" t="s">
        <v>88</v>
      </c>
      <c r="C109" s="2"/>
      <c r="D109" s="3"/>
      <c r="E109" s="3"/>
      <c r="F109" s="65"/>
      <c r="G109" s="68"/>
    </row>
    <row r="110" spans="1:7" ht="31.2" x14ac:dyDescent="0.3">
      <c r="A110" s="16"/>
      <c r="B110" s="19" t="s">
        <v>113</v>
      </c>
      <c r="C110" s="2"/>
      <c r="D110" s="3"/>
      <c r="E110" s="3"/>
      <c r="F110" s="65"/>
      <c r="G110" s="68"/>
    </row>
    <row r="111" spans="1:7" ht="15.6" x14ac:dyDescent="0.3">
      <c r="A111" s="16"/>
      <c r="B111" s="19" t="s">
        <v>144</v>
      </c>
      <c r="C111" s="2"/>
      <c r="D111" s="3"/>
      <c r="E111" s="3"/>
      <c r="F111" s="65"/>
      <c r="G111" s="68"/>
    </row>
    <row r="112" spans="1:7" ht="15.6" x14ac:dyDescent="0.3">
      <c r="A112" s="16"/>
      <c r="B112" s="17" t="s">
        <v>90</v>
      </c>
      <c r="C112" s="2"/>
      <c r="D112" s="3"/>
      <c r="E112" s="3"/>
      <c r="F112" s="65"/>
      <c r="G112" s="68"/>
    </row>
    <row r="113" spans="1:7" ht="15.6" x14ac:dyDescent="0.3">
      <c r="A113" s="16"/>
      <c r="B113" s="17" t="s">
        <v>134</v>
      </c>
      <c r="C113" s="2"/>
      <c r="D113" s="3"/>
      <c r="E113" s="3"/>
      <c r="F113" s="66"/>
      <c r="G113" s="69"/>
    </row>
    <row r="114" spans="1:7" ht="15.6" x14ac:dyDescent="0.3">
      <c r="A114" s="16">
        <v>6</v>
      </c>
      <c r="B114" s="2" t="s">
        <v>22</v>
      </c>
      <c r="C114" s="1" t="s">
        <v>23</v>
      </c>
      <c r="D114" s="3">
        <f>'Исходные данные'!D16/100</f>
        <v>136.73325816799999</v>
      </c>
      <c r="E114" s="3">
        <f>D114*'Исходные данные'!$D$2</f>
        <v>136.73325816799999</v>
      </c>
      <c r="F114" s="64" t="s">
        <v>19</v>
      </c>
      <c r="G114" s="67" t="s">
        <v>125</v>
      </c>
    </row>
    <row r="115" spans="1:7" ht="15.6" x14ac:dyDescent="0.3">
      <c r="A115" s="16"/>
      <c r="B115" s="18" t="s">
        <v>87</v>
      </c>
      <c r="C115" s="1"/>
      <c r="D115" s="3"/>
      <c r="E115" s="3"/>
      <c r="F115" s="65"/>
      <c r="G115" s="68"/>
    </row>
    <row r="116" spans="1:7" ht="15.6" x14ac:dyDescent="0.3">
      <c r="A116" s="16"/>
      <c r="B116" s="19" t="s">
        <v>126</v>
      </c>
      <c r="C116" s="1" t="s">
        <v>3</v>
      </c>
      <c r="D116" s="3">
        <f>'Исходные данные'!H16</f>
        <v>1.06856</v>
      </c>
      <c r="E116" s="3">
        <f>D116*'Исходные данные'!$D$2</f>
        <v>1.06856</v>
      </c>
      <c r="F116" s="65"/>
      <c r="G116" s="68"/>
    </row>
    <row r="117" spans="1:7" ht="15.6" x14ac:dyDescent="0.3">
      <c r="A117" s="16"/>
      <c r="B117" s="18" t="s">
        <v>88</v>
      </c>
      <c r="C117" s="1"/>
      <c r="D117" s="3"/>
      <c r="E117" s="3"/>
      <c r="F117" s="65"/>
      <c r="G117" s="68"/>
    </row>
    <row r="118" spans="1:7" ht="15.6" x14ac:dyDescent="0.3">
      <c r="A118" s="16"/>
      <c r="B118" s="19" t="s">
        <v>90</v>
      </c>
      <c r="C118" s="1"/>
      <c r="D118" s="3"/>
      <c r="E118" s="3"/>
      <c r="F118" s="66"/>
      <c r="G118" s="69"/>
    </row>
    <row r="119" spans="1:7" ht="46.8" x14ac:dyDescent="0.3">
      <c r="A119" s="70" t="s">
        <v>28</v>
      </c>
      <c r="B119" s="71"/>
      <c r="C119" s="2" t="s">
        <v>15</v>
      </c>
      <c r="D119" s="3">
        <f>D74+D82+D90+D98+D106</f>
        <v>15.2</v>
      </c>
      <c r="E119" s="3">
        <f>D119*'Исходные данные'!$D$2</f>
        <v>15.2</v>
      </c>
      <c r="F119" s="2"/>
      <c r="G119" s="20"/>
    </row>
    <row r="120" spans="1:7" ht="15.6" x14ac:dyDescent="0.3">
      <c r="A120" s="70" t="s">
        <v>128</v>
      </c>
      <c r="B120" s="71"/>
      <c r="C120" s="2" t="s">
        <v>3</v>
      </c>
      <c r="D120" s="3">
        <f>D116</f>
        <v>1.06856</v>
      </c>
      <c r="E120" s="3">
        <f>D120*'Исходные данные'!$D$2</f>
        <v>1.06856</v>
      </c>
      <c r="F120" s="2"/>
      <c r="G120" s="20"/>
    </row>
    <row r="121" spans="1:7" ht="15.6" x14ac:dyDescent="0.3">
      <c r="A121" s="70" t="s">
        <v>129</v>
      </c>
      <c r="B121" s="71"/>
      <c r="C121" s="2" t="s">
        <v>3</v>
      </c>
      <c r="D121" s="3">
        <f>D119+D120</f>
        <v>16.268560000000001</v>
      </c>
      <c r="E121" s="3">
        <f>D121*'Исходные данные'!$D$2</f>
        <v>16.268560000000001</v>
      </c>
      <c r="F121" s="2"/>
      <c r="G121" s="20"/>
    </row>
    <row r="122" spans="1:7" ht="15.6" x14ac:dyDescent="0.3">
      <c r="A122" s="52" t="s">
        <v>67</v>
      </c>
      <c r="B122" s="53"/>
      <c r="C122" s="53"/>
      <c r="D122" s="53"/>
      <c r="E122" s="53"/>
      <c r="F122" s="53"/>
      <c r="G122" s="54"/>
    </row>
    <row r="123" spans="1:7" ht="46.8" x14ac:dyDescent="0.3">
      <c r="A123" s="16">
        <v>1</v>
      </c>
      <c r="B123" s="19" t="s">
        <v>72</v>
      </c>
      <c r="C123" s="2" t="s">
        <v>15</v>
      </c>
      <c r="D123" s="3">
        <f>(0.42*'Исходные данные'!D17)/1000</f>
        <v>-1.26E-2</v>
      </c>
      <c r="E123" s="3">
        <f>D123*'Исходные данные'!$D$2</f>
        <v>-1.26E-2</v>
      </c>
      <c r="F123" s="64" t="s">
        <v>19</v>
      </c>
      <c r="G123" s="67"/>
    </row>
    <row r="124" spans="1:7" ht="15.6" x14ac:dyDescent="0.3">
      <c r="A124" s="16"/>
      <c r="B124" s="18" t="s">
        <v>87</v>
      </c>
      <c r="C124" s="2"/>
      <c r="D124" s="3"/>
      <c r="E124" s="3"/>
      <c r="F124" s="65"/>
      <c r="G124" s="68"/>
    </row>
    <row r="125" spans="1:7" ht="15.6" x14ac:dyDescent="0.3">
      <c r="A125" s="16"/>
      <c r="B125" s="19" t="s">
        <v>16</v>
      </c>
      <c r="C125" s="2" t="s">
        <v>17</v>
      </c>
      <c r="D125" s="3">
        <f>D123</f>
        <v>-1.26E-2</v>
      </c>
      <c r="E125" s="3">
        <f>D125*'Исходные данные'!$D$2</f>
        <v>-1.26E-2</v>
      </c>
      <c r="F125" s="65"/>
      <c r="G125" s="68"/>
    </row>
    <row r="126" spans="1:7" ht="15.6" x14ac:dyDescent="0.3">
      <c r="A126" s="16"/>
      <c r="B126" s="18" t="s">
        <v>88</v>
      </c>
      <c r="C126" s="2"/>
      <c r="D126" s="1"/>
      <c r="E126" s="1"/>
      <c r="F126" s="65"/>
      <c r="G126" s="68"/>
    </row>
    <row r="127" spans="1:7" ht="31.2" x14ac:dyDescent="0.3">
      <c r="A127" s="16"/>
      <c r="B127" s="19" t="s">
        <v>113</v>
      </c>
      <c r="C127" s="2"/>
      <c r="D127" s="1"/>
      <c r="E127" s="1"/>
      <c r="F127" s="65"/>
      <c r="G127" s="68"/>
    </row>
    <row r="128" spans="1:7" ht="15.6" x14ac:dyDescent="0.3">
      <c r="A128" s="16"/>
      <c r="B128" s="19" t="s">
        <v>144</v>
      </c>
      <c r="C128" s="2"/>
      <c r="D128" s="1"/>
      <c r="E128" s="1"/>
      <c r="F128" s="65"/>
      <c r="G128" s="68"/>
    </row>
    <row r="129" spans="1:7" ht="15.6" x14ac:dyDescent="0.3">
      <c r="A129" s="16"/>
      <c r="B129" s="17" t="s">
        <v>90</v>
      </c>
      <c r="C129" s="2"/>
      <c r="D129" s="1"/>
      <c r="E129" s="1"/>
      <c r="F129" s="65"/>
      <c r="G129" s="68"/>
    </row>
    <row r="130" spans="1:7" ht="15.6" x14ac:dyDescent="0.3">
      <c r="A130" s="16"/>
      <c r="B130" s="17" t="s">
        <v>134</v>
      </c>
      <c r="C130" s="2"/>
      <c r="D130" s="1"/>
      <c r="E130" s="1"/>
      <c r="F130" s="66"/>
      <c r="G130" s="69"/>
    </row>
    <row r="131" spans="1:7" ht="15.6" x14ac:dyDescent="0.3">
      <c r="A131" s="16">
        <v>2</v>
      </c>
      <c r="B131" s="19" t="s">
        <v>34</v>
      </c>
      <c r="C131" s="1" t="s">
        <v>76</v>
      </c>
      <c r="D131" s="1">
        <f>'Исходные данные'!D17</f>
        <v>-30</v>
      </c>
      <c r="E131" s="1">
        <f>D131*'Исходные данные'!$D$2</f>
        <v>-30</v>
      </c>
      <c r="F131" s="73"/>
      <c r="G131" s="67"/>
    </row>
    <row r="132" spans="1:7" ht="15.6" x14ac:dyDescent="0.3">
      <c r="A132" s="16"/>
      <c r="B132" s="18" t="s">
        <v>87</v>
      </c>
      <c r="C132" s="1"/>
      <c r="D132" s="1"/>
      <c r="E132" s="1"/>
      <c r="F132" s="74"/>
      <c r="G132" s="68"/>
    </row>
    <row r="133" spans="1:7" ht="15.6" x14ac:dyDescent="0.3">
      <c r="A133" s="16"/>
      <c r="B133" s="17" t="s">
        <v>35</v>
      </c>
      <c r="C133" s="1" t="s">
        <v>76</v>
      </c>
      <c r="D133" s="4">
        <f>D131</f>
        <v>-30</v>
      </c>
      <c r="E133" s="4">
        <f>D133*'Исходные данные'!$D$2</f>
        <v>-30</v>
      </c>
      <c r="F133" s="74"/>
      <c r="G133" s="68"/>
    </row>
    <row r="134" spans="1:7" ht="15.6" x14ac:dyDescent="0.3">
      <c r="A134" s="16"/>
      <c r="B134" s="18" t="s">
        <v>88</v>
      </c>
      <c r="C134" s="2"/>
      <c r="D134" s="1"/>
      <c r="E134" s="1"/>
      <c r="F134" s="74"/>
      <c r="G134" s="68"/>
    </row>
    <row r="135" spans="1:7" ht="31.2" x14ac:dyDescent="0.3">
      <c r="A135" s="16"/>
      <c r="B135" s="19" t="s">
        <v>113</v>
      </c>
      <c r="C135" s="2"/>
      <c r="D135" s="1"/>
      <c r="E135" s="1"/>
      <c r="F135" s="74"/>
      <c r="G135" s="68"/>
    </row>
    <row r="136" spans="1:7" ht="15.6" x14ac:dyDescent="0.3">
      <c r="A136" s="16"/>
      <c r="B136" s="19" t="s">
        <v>144</v>
      </c>
      <c r="C136" s="2"/>
      <c r="D136" s="1"/>
      <c r="E136" s="1"/>
      <c r="F136" s="74"/>
      <c r="G136" s="68"/>
    </row>
    <row r="137" spans="1:7" ht="15.6" x14ac:dyDescent="0.3">
      <c r="A137" s="16"/>
      <c r="B137" s="17" t="s">
        <v>90</v>
      </c>
      <c r="C137" s="2"/>
      <c r="D137" s="1"/>
      <c r="E137" s="1"/>
      <c r="F137" s="74"/>
      <c r="G137" s="68"/>
    </row>
    <row r="138" spans="1:7" ht="15.6" x14ac:dyDescent="0.3">
      <c r="A138" s="16"/>
      <c r="B138" s="17" t="s">
        <v>134</v>
      </c>
      <c r="C138" s="2"/>
      <c r="D138" s="1"/>
      <c r="E138" s="1"/>
      <c r="F138" s="75"/>
      <c r="G138" s="69"/>
    </row>
    <row r="139" spans="1:7" ht="15.6" x14ac:dyDescent="0.3">
      <c r="A139" s="16">
        <v>3</v>
      </c>
      <c r="B139" s="19" t="s">
        <v>77</v>
      </c>
      <c r="C139" s="1" t="s">
        <v>36</v>
      </c>
      <c r="D139" s="4">
        <f>(D141*3.14*'Исходные данные'!B5)/100</f>
        <v>-1.7898E-3</v>
      </c>
      <c r="E139" s="4">
        <f>D139*'Исходные данные'!$D$2</f>
        <v>-1.7898E-3</v>
      </c>
      <c r="F139" s="64"/>
      <c r="G139" s="67"/>
    </row>
    <row r="140" spans="1:7" ht="15.6" x14ac:dyDescent="0.3">
      <c r="A140" s="16"/>
      <c r="B140" s="18" t="s">
        <v>87</v>
      </c>
      <c r="C140" s="1"/>
      <c r="D140" s="1"/>
      <c r="E140" s="1"/>
      <c r="F140" s="65"/>
      <c r="G140" s="68"/>
    </row>
    <row r="141" spans="1:7" ht="15.6" x14ac:dyDescent="0.3">
      <c r="A141" s="16"/>
      <c r="B141" s="1" t="s">
        <v>74</v>
      </c>
      <c r="C141" s="1" t="s">
        <v>76</v>
      </c>
      <c r="D141" s="1">
        <f>'Исходные данные'!D8</f>
        <v>-3</v>
      </c>
      <c r="E141" s="1">
        <f>D141*'Исходные данные'!$D$2</f>
        <v>-3</v>
      </c>
      <c r="F141" s="65"/>
      <c r="G141" s="68"/>
    </row>
    <row r="142" spans="1:7" ht="15.6" x14ac:dyDescent="0.3">
      <c r="A142" s="16"/>
      <c r="B142" s="18" t="s">
        <v>88</v>
      </c>
      <c r="C142" s="2"/>
      <c r="D142" s="1"/>
      <c r="E142" s="1"/>
      <c r="F142" s="65"/>
      <c r="G142" s="68"/>
    </row>
    <row r="143" spans="1:7" ht="31.2" x14ac:dyDescent="0.3">
      <c r="A143" s="16"/>
      <c r="B143" s="19" t="s">
        <v>113</v>
      </c>
      <c r="C143" s="2"/>
      <c r="D143" s="1"/>
      <c r="E143" s="1"/>
      <c r="F143" s="65"/>
      <c r="G143" s="68"/>
    </row>
    <row r="144" spans="1:7" ht="15.6" x14ac:dyDescent="0.3">
      <c r="A144" s="16"/>
      <c r="B144" s="19" t="s">
        <v>144</v>
      </c>
      <c r="C144" s="2"/>
      <c r="D144" s="1"/>
      <c r="E144" s="1"/>
      <c r="F144" s="65"/>
      <c r="G144" s="68"/>
    </row>
    <row r="145" spans="1:7" ht="15.6" x14ac:dyDescent="0.3">
      <c r="A145" s="16"/>
      <c r="B145" s="17" t="s">
        <v>90</v>
      </c>
      <c r="C145" s="2"/>
      <c r="D145" s="1"/>
      <c r="E145" s="1"/>
      <c r="F145" s="65"/>
      <c r="G145" s="68"/>
    </row>
    <row r="146" spans="1:7" ht="15.6" x14ac:dyDescent="0.3">
      <c r="A146" s="16"/>
      <c r="B146" s="17" t="s">
        <v>134</v>
      </c>
      <c r="C146" s="2"/>
      <c r="D146" s="1"/>
      <c r="E146" s="1"/>
      <c r="F146" s="66"/>
      <c r="G146" s="69"/>
    </row>
    <row r="147" spans="1:7" ht="15.6" x14ac:dyDescent="0.3">
      <c r="A147" s="16">
        <v>4</v>
      </c>
      <c r="B147" s="19" t="s">
        <v>78</v>
      </c>
      <c r="C147" s="1" t="s">
        <v>36</v>
      </c>
      <c r="D147" s="4">
        <f>('Исходные данные'!D9*('Исходные данные'!B5+2*'Исходные данные'!C3-2.5+0.4))/100</f>
        <v>0.30705000000000005</v>
      </c>
      <c r="E147" s="4">
        <f>D147*'Исходные данные'!$D$2</f>
        <v>0.30705000000000005</v>
      </c>
      <c r="F147" s="64"/>
      <c r="G147" s="67"/>
    </row>
    <row r="148" spans="1:7" ht="15.6" x14ac:dyDescent="0.3">
      <c r="A148" s="16"/>
      <c r="B148" s="18" t="s">
        <v>87</v>
      </c>
      <c r="C148" s="1"/>
      <c r="D148" s="1"/>
      <c r="E148" s="1"/>
      <c r="F148" s="65"/>
      <c r="G148" s="68"/>
    </row>
    <row r="149" spans="1:7" ht="15.6" x14ac:dyDescent="0.3">
      <c r="A149" s="16"/>
      <c r="B149" s="1" t="s">
        <v>74</v>
      </c>
      <c r="C149" s="1" t="s">
        <v>76</v>
      </c>
      <c r="D149" s="1">
        <f>'Исходные данные'!D9</f>
        <v>-15</v>
      </c>
      <c r="E149" s="1">
        <f>D149*'Исходные данные'!$D$2</f>
        <v>-15</v>
      </c>
      <c r="F149" s="65"/>
      <c r="G149" s="68"/>
    </row>
    <row r="150" spans="1:7" ht="15.6" x14ac:dyDescent="0.3">
      <c r="A150" s="16"/>
      <c r="B150" s="18" t="s">
        <v>88</v>
      </c>
      <c r="C150" s="2"/>
      <c r="D150" s="1"/>
      <c r="E150" s="1"/>
      <c r="F150" s="65"/>
      <c r="G150" s="68"/>
    </row>
    <row r="151" spans="1:7" ht="31.2" x14ac:dyDescent="0.3">
      <c r="A151" s="16"/>
      <c r="B151" s="19" t="s">
        <v>113</v>
      </c>
      <c r="C151" s="2"/>
      <c r="D151" s="1"/>
      <c r="E151" s="1"/>
      <c r="F151" s="65"/>
      <c r="G151" s="68"/>
    </row>
    <row r="152" spans="1:7" ht="15.6" x14ac:dyDescent="0.3">
      <c r="A152" s="16"/>
      <c r="B152" s="19" t="s">
        <v>144</v>
      </c>
      <c r="C152" s="2"/>
      <c r="D152" s="1"/>
      <c r="E152" s="1"/>
      <c r="F152" s="65"/>
      <c r="G152" s="68"/>
    </row>
    <row r="153" spans="1:7" ht="15.6" x14ac:dyDescent="0.3">
      <c r="A153" s="16"/>
      <c r="B153" s="17" t="s">
        <v>90</v>
      </c>
      <c r="C153" s="2"/>
      <c r="D153" s="1"/>
      <c r="E153" s="1"/>
      <c r="F153" s="65"/>
      <c r="G153" s="68"/>
    </row>
    <row r="154" spans="1:7" ht="15.6" x14ac:dyDescent="0.3">
      <c r="A154" s="16"/>
      <c r="B154" s="17" t="s">
        <v>134</v>
      </c>
      <c r="C154" s="2"/>
      <c r="D154" s="1"/>
      <c r="E154" s="1"/>
      <c r="F154" s="66"/>
      <c r="G154" s="69"/>
    </row>
    <row r="155" spans="1:7" ht="15.6" x14ac:dyDescent="0.3">
      <c r="A155" s="16">
        <v>5</v>
      </c>
      <c r="B155" s="19" t="s">
        <v>37</v>
      </c>
      <c r="C155" s="1" t="s">
        <v>76</v>
      </c>
      <c r="D155" s="1">
        <f>ROUND(('Исходные данные'!D9*2+('Исходные данные'!D8/2*'Исходные данные'!D9/2)),0)</f>
        <v>-19</v>
      </c>
      <c r="E155" s="1">
        <f>D155*'Исходные данные'!$D$2</f>
        <v>-19</v>
      </c>
      <c r="F155" s="76"/>
      <c r="G155" s="72"/>
    </row>
    <row r="156" spans="1:7" ht="15.6" x14ac:dyDescent="0.3">
      <c r="A156" s="16"/>
      <c r="B156" s="18" t="s">
        <v>87</v>
      </c>
      <c r="C156" s="1"/>
      <c r="D156" s="1"/>
      <c r="E156" s="1"/>
      <c r="F156" s="76"/>
      <c r="G156" s="72"/>
    </row>
    <row r="157" spans="1:7" ht="15" customHeight="1" x14ac:dyDescent="0.3">
      <c r="A157" s="16"/>
      <c r="B157" s="17" t="s">
        <v>38</v>
      </c>
      <c r="C157" s="1" t="s">
        <v>76</v>
      </c>
      <c r="D157" s="1">
        <f>D155</f>
        <v>-19</v>
      </c>
      <c r="E157" s="1">
        <f>D157*'Исходные данные'!$D$2</f>
        <v>-19</v>
      </c>
      <c r="F157" s="76"/>
      <c r="G157" s="72"/>
    </row>
    <row r="158" spans="1:7" ht="15" customHeight="1" x14ac:dyDescent="0.3">
      <c r="A158" s="16"/>
      <c r="B158" s="18" t="s">
        <v>88</v>
      </c>
      <c r="C158" s="2"/>
      <c r="D158" s="1"/>
      <c r="E158" s="1"/>
      <c r="F158" s="76"/>
      <c r="G158" s="72"/>
    </row>
    <row r="159" spans="1:7" ht="15" customHeight="1" x14ac:dyDescent="0.3">
      <c r="A159" s="16"/>
      <c r="B159" s="19" t="s">
        <v>113</v>
      </c>
      <c r="C159" s="2"/>
      <c r="D159" s="1"/>
      <c r="E159" s="1"/>
      <c r="F159" s="76"/>
      <c r="G159" s="72"/>
    </row>
    <row r="160" spans="1:7" ht="15" customHeight="1" x14ac:dyDescent="0.3">
      <c r="A160" s="16"/>
      <c r="B160" s="19" t="s">
        <v>144</v>
      </c>
      <c r="C160" s="2"/>
      <c r="D160" s="1"/>
      <c r="E160" s="1"/>
      <c r="F160" s="76"/>
      <c r="G160" s="72"/>
    </row>
    <row r="161" spans="1:7" ht="15" customHeight="1" x14ac:dyDescent="0.3">
      <c r="A161" s="16"/>
      <c r="B161" s="17" t="s">
        <v>90</v>
      </c>
      <c r="C161" s="2"/>
      <c r="D161" s="1"/>
      <c r="E161" s="1"/>
      <c r="F161" s="76"/>
      <c r="G161" s="72"/>
    </row>
    <row r="162" spans="1:7" ht="15" customHeight="1" x14ac:dyDescent="0.3">
      <c r="A162" s="16"/>
      <c r="B162" s="17" t="s">
        <v>134</v>
      </c>
      <c r="C162" s="2"/>
      <c r="D162" s="1"/>
      <c r="E162" s="1"/>
      <c r="F162" s="76"/>
      <c r="G162" s="72"/>
    </row>
    <row r="163" spans="1:7" ht="15" customHeight="1" x14ac:dyDescent="0.3">
      <c r="A163" s="52" t="s">
        <v>70</v>
      </c>
      <c r="B163" s="53"/>
      <c r="C163" s="53"/>
      <c r="D163" s="53"/>
      <c r="E163" s="53"/>
      <c r="F163" s="53"/>
      <c r="G163" s="54"/>
    </row>
    <row r="164" spans="1:7" ht="53.25" customHeight="1" x14ac:dyDescent="0.3">
      <c r="A164" s="16">
        <v>1</v>
      </c>
      <c r="B164" s="19" t="s">
        <v>71</v>
      </c>
      <c r="C164" s="2" t="s">
        <v>15</v>
      </c>
      <c r="D164" s="1">
        <f>40/1000</f>
        <v>0.04</v>
      </c>
      <c r="E164" s="1">
        <f>D164*'Исходные данные'!$D$2</f>
        <v>0.04</v>
      </c>
      <c r="F164" s="64" t="s">
        <v>19</v>
      </c>
      <c r="G164" s="67"/>
    </row>
    <row r="165" spans="1:7" ht="15" customHeight="1" x14ac:dyDescent="0.3">
      <c r="A165" s="16"/>
      <c r="B165" s="18" t="s">
        <v>87</v>
      </c>
      <c r="C165" s="1"/>
      <c r="D165" s="1"/>
      <c r="E165" s="1"/>
      <c r="F165" s="65"/>
      <c r="G165" s="68"/>
    </row>
    <row r="166" spans="1:7" ht="15" customHeight="1" x14ac:dyDescent="0.3">
      <c r="A166" s="16"/>
      <c r="B166" s="19" t="s">
        <v>16</v>
      </c>
      <c r="C166" s="2" t="s">
        <v>17</v>
      </c>
      <c r="D166" s="1">
        <f>D164</f>
        <v>0.04</v>
      </c>
      <c r="E166" s="1">
        <f>D166*'Исходные данные'!$D$2</f>
        <v>0.04</v>
      </c>
      <c r="F166" s="65"/>
      <c r="G166" s="68"/>
    </row>
    <row r="167" spans="1:7" ht="15" customHeight="1" x14ac:dyDescent="0.3">
      <c r="A167" s="16"/>
      <c r="B167" s="18" t="s">
        <v>88</v>
      </c>
      <c r="C167" s="2"/>
      <c r="D167" s="1"/>
      <c r="E167" s="1"/>
      <c r="F167" s="65"/>
      <c r="G167" s="68"/>
    </row>
    <row r="168" spans="1:7" ht="15" customHeight="1" x14ac:dyDescent="0.3">
      <c r="A168" s="16"/>
      <c r="B168" s="19" t="s">
        <v>113</v>
      </c>
      <c r="C168" s="2"/>
      <c r="D168" s="1"/>
      <c r="E168" s="1"/>
      <c r="F168" s="65"/>
      <c r="G168" s="68"/>
    </row>
    <row r="169" spans="1:7" ht="15" customHeight="1" x14ac:dyDescent="0.3">
      <c r="A169" s="16"/>
      <c r="B169" s="17" t="s">
        <v>90</v>
      </c>
      <c r="C169" s="2"/>
      <c r="D169" s="1"/>
      <c r="E169" s="1"/>
      <c r="F169" s="65"/>
      <c r="G169" s="68"/>
    </row>
    <row r="170" spans="1:7" ht="15" customHeight="1" x14ac:dyDescent="0.3">
      <c r="A170" s="16"/>
      <c r="B170" s="17" t="s">
        <v>134</v>
      </c>
      <c r="C170" s="2"/>
      <c r="D170" s="1"/>
      <c r="E170" s="1"/>
      <c r="F170" s="66"/>
      <c r="G170" s="69"/>
    </row>
    <row r="171" spans="1:7" ht="15" customHeight="1" x14ac:dyDescent="0.3">
      <c r="A171" s="16">
        <v>2</v>
      </c>
      <c r="B171" s="2" t="s">
        <v>40</v>
      </c>
      <c r="C171" s="1" t="s">
        <v>76</v>
      </c>
      <c r="D171" s="1">
        <v>40</v>
      </c>
      <c r="E171" s="1">
        <f>D171*'Исходные данные'!$D$2</f>
        <v>40</v>
      </c>
      <c r="F171" s="64"/>
      <c r="G171" s="67"/>
    </row>
    <row r="172" spans="1:7" ht="15" customHeight="1" x14ac:dyDescent="0.3">
      <c r="A172" s="16"/>
      <c r="B172" s="18" t="s">
        <v>87</v>
      </c>
      <c r="C172" s="1"/>
      <c r="D172" s="1"/>
      <c r="E172" s="1"/>
      <c r="F172" s="65"/>
      <c r="G172" s="68"/>
    </row>
    <row r="173" spans="1:7" ht="15" customHeight="1" x14ac:dyDescent="0.3">
      <c r="A173" s="16"/>
      <c r="B173" s="17" t="s">
        <v>136</v>
      </c>
      <c r="C173" s="1" t="s">
        <v>76</v>
      </c>
      <c r="D173" s="1">
        <v>40</v>
      </c>
      <c r="E173" s="1">
        <f>D173*'Исходные данные'!$D$2</f>
        <v>40</v>
      </c>
      <c r="F173" s="66"/>
      <c r="G173" s="69"/>
    </row>
    <row r="174" spans="1:7" ht="15" customHeight="1" x14ac:dyDescent="0.3">
      <c r="A174" s="16">
        <v>3</v>
      </c>
      <c r="B174" s="2" t="s">
        <v>41</v>
      </c>
      <c r="C174" s="1" t="s">
        <v>76</v>
      </c>
      <c r="D174" s="1">
        <v>20</v>
      </c>
      <c r="E174" s="1">
        <f>D174*'Исходные данные'!$D$2</f>
        <v>20</v>
      </c>
      <c r="F174" s="64"/>
      <c r="G174" s="67"/>
    </row>
    <row r="175" spans="1:7" ht="15" customHeight="1" x14ac:dyDescent="0.3">
      <c r="A175" s="16"/>
      <c r="B175" s="18" t="s">
        <v>87</v>
      </c>
      <c r="C175" s="1"/>
      <c r="D175" s="1"/>
      <c r="E175" s="1"/>
      <c r="F175" s="65"/>
      <c r="G175" s="68"/>
    </row>
    <row r="176" spans="1:7" ht="15" customHeight="1" x14ac:dyDescent="0.3">
      <c r="A176" s="16"/>
      <c r="B176" s="17" t="s">
        <v>39</v>
      </c>
      <c r="C176" s="1" t="s">
        <v>76</v>
      </c>
      <c r="D176" s="1">
        <v>20</v>
      </c>
      <c r="E176" s="1">
        <f>D176*'Исходные данные'!$D$2</f>
        <v>20</v>
      </c>
      <c r="F176" s="66"/>
      <c r="G176" s="69"/>
    </row>
    <row r="177" spans="1:7" ht="15.6" x14ac:dyDescent="0.3">
      <c r="A177" s="52" t="s">
        <v>32</v>
      </c>
      <c r="B177" s="53"/>
      <c r="C177" s="53"/>
      <c r="D177" s="53"/>
      <c r="E177" s="53"/>
      <c r="F177" s="53"/>
      <c r="G177" s="54"/>
    </row>
    <row r="178" spans="1:7" ht="46.8" x14ac:dyDescent="0.3">
      <c r="A178" s="16">
        <v>1</v>
      </c>
      <c r="B178" s="19" t="s">
        <v>42</v>
      </c>
      <c r="C178" s="2" t="s">
        <v>15</v>
      </c>
      <c r="D178" s="3">
        <f>(1.08*'Исходные данные'!D18)/1000</f>
        <v>0</v>
      </c>
      <c r="E178" s="3">
        <f>D178*'Исходные данные'!$D$2</f>
        <v>0</v>
      </c>
      <c r="F178" s="64" t="s">
        <v>19</v>
      </c>
      <c r="G178" s="67"/>
    </row>
    <row r="179" spans="1:7" ht="15.6" x14ac:dyDescent="0.3">
      <c r="A179" s="16"/>
      <c r="B179" s="18" t="s">
        <v>87</v>
      </c>
      <c r="C179" s="1"/>
      <c r="D179" s="1"/>
      <c r="E179" s="1"/>
      <c r="F179" s="65"/>
      <c r="G179" s="68"/>
    </row>
    <row r="180" spans="1:7" ht="15.6" x14ac:dyDescent="0.3">
      <c r="A180" s="16"/>
      <c r="B180" s="2" t="s">
        <v>16</v>
      </c>
      <c r="C180" s="1" t="s">
        <v>18</v>
      </c>
      <c r="D180" s="3">
        <f>D178</f>
        <v>0</v>
      </c>
      <c r="E180" s="3">
        <f>D180*'Исходные данные'!$D$2</f>
        <v>0</v>
      </c>
      <c r="F180" s="65"/>
      <c r="G180" s="68"/>
    </row>
    <row r="181" spans="1:7" ht="15.6" x14ac:dyDescent="0.3">
      <c r="A181" s="16"/>
      <c r="B181" s="18" t="s">
        <v>88</v>
      </c>
      <c r="C181" s="2"/>
      <c r="D181" s="1"/>
      <c r="E181" s="1"/>
      <c r="F181" s="65"/>
      <c r="G181" s="68"/>
    </row>
    <row r="182" spans="1:7" ht="31.2" x14ac:dyDescent="0.3">
      <c r="A182" s="16"/>
      <c r="B182" s="19" t="s">
        <v>113</v>
      </c>
      <c r="C182" s="2"/>
      <c r="D182" s="1"/>
      <c r="E182" s="1"/>
      <c r="F182" s="65"/>
      <c r="G182" s="68"/>
    </row>
    <row r="183" spans="1:7" ht="15.6" x14ac:dyDescent="0.3">
      <c r="A183" s="16"/>
      <c r="B183" s="19" t="s">
        <v>144</v>
      </c>
      <c r="C183" s="2"/>
      <c r="D183" s="1"/>
      <c r="E183" s="1"/>
      <c r="F183" s="65"/>
      <c r="G183" s="68"/>
    </row>
    <row r="184" spans="1:7" ht="15.6" x14ac:dyDescent="0.3">
      <c r="A184" s="16"/>
      <c r="B184" s="17" t="s">
        <v>90</v>
      </c>
      <c r="C184" s="2"/>
      <c r="D184" s="1"/>
      <c r="E184" s="1"/>
      <c r="F184" s="65"/>
      <c r="G184" s="68"/>
    </row>
    <row r="185" spans="1:7" ht="15.6" x14ac:dyDescent="0.3">
      <c r="A185" s="16"/>
      <c r="B185" s="17" t="s">
        <v>134</v>
      </c>
      <c r="C185" s="2"/>
      <c r="D185" s="1"/>
      <c r="E185" s="1"/>
      <c r="F185" s="66"/>
      <c r="G185" s="69"/>
    </row>
    <row r="186" spans="1:7" ht="24" customHeight="1" x14ac:dyDescent="0.3">
      <c r="A186" s="16">
        <v>2</v>
      </c>
      <c r="B186" s="19" t="s">
        <v>137</v>
      </c>
      <c r="C186" s="1" t="s">
        <v>36</v>
      </c>
      <c r="D186" s="3">
        <f>(('Исходные данные'!B5+0.1)*3.14+0.6)/100</f>
        <v>9.7365999999999998E-3</v>
      </c>
      <c r="E186" s="3">
        <f>D186*'Исходные данные'!$D$2</f>
        <v>9.7365999999999998E-3</v>
      </c>
      <c r="F186" s="64"/>
      <c r="G186" s="67" t="s">
        <v>140</v>
      </c>
    </row>
    <row r="187" spans="1:7" ht="16.5" customHeight="1" x14ac:dyDescent="0.3">
      <c r="A187" s="16"/>
      <c r="B187" s="18" t="s">
        <v>87</v>
      </c>
      <c r="C187" s="1"/>
      <c r="D187" s="1"/>
      <c r="E187" s="1"/>
      <c r="F187" s="65"/>
      <c r="G187" s="68"/>
    </row>
    <row r="188" spans="1:7" ht="15.6" x14ac:dyDescent="0.3">
      <c r="A188" s="16"/>
      <c r="B188" s="19" t="s">
        <v>75</v>
      </c>
      <c r="C188" s="1" t="s">
        <v>76</v>
      </c>
      <c r="D188" s="4">
        <v>1</v>
      </c>
      <c r="E188" s="4">
        <f>D188*'Исходные данные'!$D$2</f>
        <v>1</v>
      </c>
      <c r="F188" s="65"/>
      <c r="G188" s="68"/>
    </row>
    <row r="189" spans="1:7" ht="15.6" x14ac:dyDescent="0.3">
      <c r="A189" s="16"/>
      <c r="B189" s="18" t="s">
        <v>88</v>
      </c>
      <c r="C189" s="2"/>
      <c r="D189" s="1"/>
      <c r="E189" s="1"/>
      <c r="F189" s="65"/>
      <c r="G189" s="68"/>
    </row>
    <row r="190" spans="1:7" ht="31.2" x14ac:dyDescent="0.3">
      <c r="A190" s="16"/>
      <c r="B190" s="19" t="s">
        <v>141</v>
      </c>
      <c r="C190" s="1"/>
      <c r="D190" s="4"/>
      <c r="E190" s="4"/>
      <c r="F190" s="65"/>
      <c r="G190" s="68"/>
    </row>
    <row r="191" spans="1:7" ht="15.6" x14ac:dyDescent="0.3">
      <c r="A191" s="16"/>
      <c r="B191" s="19" t="s">
        <v>142</v>
      </c>
      <c r="C191" s="1"/>
      <c r="D191" s="4"/>
      <c r="E191" s="4"/>
      <c r="F191" s="65"/>
      <c r="G191" s="68"/>
    </row>
    <row r="192" spans="1:7" ht="15.6" x14ac:dyDescent="0.3">
      <c r="A192" s="16"/>
      <c r="B192" s="19" t="s">
        <v>90</v>
      </c>
      <c r="C192" s="1"/>
      <c r="D192" s="4"/>
      <c r="E192" s="4"/>
      <c r="F192" s="66"/>
      <c r="G192" s="69"/>
    </row>
    <row r="193" spans="1:7" ht="15.6" x14ac:dyDescent="0.3">
      <c r="A193" s="16">
        <v>3</v>
      </c>
      <c r="B193" s="19" t="s">
        <v>43</v>
      </c>
      <c r="C193" s="1" t="s">
        <v>76</v>
      </c>
      <c r="D193" s="4">
        <f>D195</f>
        <v>0</v>
      </c>
      <c r="E193" s="4">
        <f>D193*'Исходные данные'!$D$2</f>
        <v>0</v>
      </c>
      <c r="F193" s="64"/>
      <c r="G193" s="67"/>
    </row>
    <row r="194" spans="1:7" ht="15.6" x14ac:dyDescent="0.3">
      <c r="A194" s="16"/>
      <c r="B194" s="18" t="s">
        <v>87</v>
      </c>
      <c r="C194" s="1"/>
      <c r="D194" s="1"/>
      <c r="E194" s="1"/>
      <c r="F194" s="65"/>
      <c r="G194" s="68"/>
    </row>
    <row r="195" spans="1:7" ht="31.2" x14ac:dyDescent="0.3">
      <c r="A195" s="16"/>
      <c r="B195" s="19" t="s">
        <v>139</v>
      </c>
      <c r="C195" s="1" t="s">
        <v>76</v>
      </c>
      <c r="D195" s="4">
        <f>'Исходные данные'!D18</f>
        <v>0</v>
      </c>
      <c r="E195" s="4">
        <f>D195*'Исходные данные'!$D$2</f>
        <v>0</v>
      </c>
      <c r="F195" s="65"/>
      <c r="G195" s="68"/>
    </row>
    <row r="196" spans="1:7" ht="15.6" x14ac:dyDescent="0.3">
      <c r="A196" s="16"/>
      <c r="B196" s="18" t="s">
        <v>88</v>
      </c>
      <c r="C196" s="1"/>
      <c r="D196" s="4"/>
      <c r="E196" s="4"/>
      <c r="F196" s="65"/>
      <c r="G196" s="68"/>
    </row>
    <row r="197" spans="1:7" ht="31.2" x14ac:dyDescent="0.3">
      <c r="A197" s="16"/>
      <c r="B197" s="19" t="s">
        <v>113</v>
      </c>
      <c r="C197" s="1"/>
      <c r="D197" s="4"/>
      <c r="E197" s="4"/>
      <c r="F197" s="65"/>
      <c r="G197" s="68"/>
    </row>
    <row r="198" spans="1:7" ht="15.6" x14ac:dyDescent="0.3">
      <c r="A198" s="16"/>
      <c r="B198" s="19" t="s">
        <v>144</v>
      </c>
      <c r="C198" s="1"/>
      <c r="D198" s="4"/>
      <c r="E198" s="4"/>
      <c r="F198" s="65"/>
      <c r="G198" s="68"/>
    </row>
    <row r="199" spans="1:7" ht="15.6" x14ac:dyDescent="0.3">
      <c r="A199" s="16"/>
      <c r="B199" s="17" t="s">
        <v>90</v>
      </c>
      <c r="C199" s="1"/>
      <c r="D199" s="4"/>
      <c r="E199" s="4"/>
      <c r="F199" s="65"/>
      <c r="G199" s="68"/>
    </row>
    <row r="200" spans="1:7" ht="15.6" x14ac:dyDescent="0.3">
      <c r="A200" s="16"/>
      <c r="B200" s="17" t="s">
        <v>134</v>
      </c>
      <c r="C200" s="1"/>
      <c r="D200" s="4"/>
      <c r="E200" s="4"/>
      <c r="F200" s="66"/>
      <c r="G200" s="69"/>
    </row>
    <row r="201" spans="1:7" ht="15.6" x14ac:dyDescent="0.3">
      <c r="A201" s="16">
        <v>4</v>
      </c>
      <c r="B201" s="17" t="s">
        <v>166</v>
      </c>
      <c r="C201" s="1" t="s">
        <v>24</v>
      </c>
      <c r="D201" s="3">
        <f>D195*2*('Исходные данные'!C3-2.5)+3.14*('Исходные данные'!B5/2)^2</f>
        <v>2.8338499999999998E-4</v>
      </c>
      <c r="E201" s="3">
        <f>D201*'Исходные данные'!$D$2</f>
        <v>2.8338499999999998E-4</v>
      </c>
      <c r="F201" s="64"/>
      <c r="G201" s="67" t="s">
        <v>143</v>
      </c>
    </row>
    <row r="202" spans="1:7" ht="15.6" x14ac:dyDescent="0.3">
      <c r="A202" s="16"/>
      <c r="B202" s="18" t="s">
        <v>87</v>
      </c>
      <c r="C202" s="1"/>
      <c r="D202" s="1"/>
      <c r="E202" s="1"/>
      <c r="F202" s="65"/>
      <c r="G202" s="68"/>
    </row>
    <row r="203" spans="1:7" ht="31.2" x14ac:dyDescent="0.3">
      <c r="A203" s="16"/>
      <c r="B203" s="2" t="s">
        <v>25</v>
      </c>
      <c r="C203" s="1" t="s">
        <v>3</v>
      </c>
      <c r="D203" s="3">
        <f>D201/1000</f>
        <v>2.8338499999999997E-7</v>
      </c>
      <c r="E203" s="3">
        <f>D203*'Исходные данные'!$D$2</f>
        <v>2.8338499999999997E-7</v>
      </c>
      <c r="F203" s="65"/>
      <c r="G203" s="68"/>
    </row>
    <row r="204" spans="1:7" ht="15.6" x14ac:dyDescent="0.3">
      <c r="A204" s="16"/>
      <c r="B204" s="18" t="s">
        <v>88</v>
      </c>
      <c r="C204" s="2"/>
      <c r="D204" s="1"/>
      <c r="E204" s="1"/>
      <c r="F204" s="65"/>
      <c r="G204" s="68"/>
    </row>
    <row r="205" spans="1:7" ht="31.2" x14ac:dyDescent="0.3">
      <c r="A205" s="16"/>
      <c r="B205" s="19" t="s">
        <v>113</v>
      </c>
      <c r="C205" s="2"/>
      <c r="D205" s="1"/>
      <c r="E205" s="1"/>
      <c r="F205" s="65"/>
      <c r="G205" s="68"/>
    </row>
    <row r="206" spans="1:7" ht="15.6" x14ac:dyDescent="0.3">
      <c r="A206" s="16"/>
      <c r="B206" s="17" t="s">
        <v>90</v>
      </c>
      <c r="C206" s="2"/>
      <c r="D206" s="1"/>
      <c r="E206" s="1"/>
      <c r="F206" s="65"/>
      <c r="G206" s="68"/>
    </row>
    <row r="207" spans="1:7" ht="15.6" x14ac:dyDescent="0.3">
      <c r="A207" s="16"/>
      <c r="B207" s="17" t="s">
        <v>134</v>
      </c>
      <c r="C207" s="2"/>
      <c r="D207" s="1"/>
      <c r="E207" s="1"/>
      <c r="F207" s="66"/>
      <c r="G207" s="69"/>
    </row>
    <row r="208" spans="1:7" ht="15.6" x14ac:dyDescent="0.3">
      <c r="A208" s="52" t="s">
        <v>80</v>
      </c>
      <c r="B208" s="53"/>
      <c r="C208" s="53"/>
      <c r="D208" s="53"/>
      <c r="E208" s="53"/>
      <c r="F208" s="53"/>
      <c r="G208" s="54"/>
    </row>
    <row r="209" spans="1:7" ht="15.75" customHeight="1" x14ac:dyDescent="0.3">
      <c r="A209" s="16">
        <v>1</v>
      </c>
      <c r="B209" s="17" t="s">
        <v>82</v>
      </c>
      <c r="C209" s="1" t="str">
        <f>C7</f>
        <v>100 м2</v>
      </c>
      <c r="D209" s="3">
        <f>D7</f>
        <v>1.3611900000000003E-5</v>
      </c>
      <c r="E209" s="3">
        <f>D209*'Исходные данные'!$D$2</f>
        <v>1.3611900000000003E-5</v>
      </c>
      <c r="F209" s="64" t="s">
        <v>33</v>
      </c>
      <c r="G209" s="67" t="s">
        <v>89</v>
      </c>
    </row>
    <row r="210" spans="1:7" ht="15.6" x14ac:dyDescent="0.3">
      <c r="A210" s="16"/>
      <c r="B210" s="18" t="s">
        <v>87</v>
      </c>
      <c r="C210" s="1"/>
      <c r="D210" s="1"/>
      <c r="E210" s="1"/>
      <c r="F210" s="65"/>
      <c r="G210" s="68"/>
    </row>
    <row r="211" spans="1:7" ht="31.2" x14ac:dyDescent="0.3">
      <c r="A211" s="16"/>
      <c r="B211" s="19" t="str">
        <f>B9</f>
        <v>Детали деревянные лесов из пиломатериалов хвойных пород</v>
      </c>
      <c r="C211" s="1" t="str">
        <f>C9</f>
        <v>м3</v>
      </c>
      <c r="D211" s="3">
        <f>D9</f>
        <v>1.2250710000000002E-7</v>
      </c>
      <c r="E211" s="3">
        <f>D211*'Исходные данные'!$D$2</f>
        <v>1.2250710000000002E-7</v>
      </c>
      <c r="F211" s="65"/>
      <c r="G211" s="68"/>
    </row>
    <row r="212" spans="1:7" ht="31.2" x14ac:dyDescent="0.3">
      <c r="A212" s="16"/>
      <c r="B212" s="19" t="str">
        <f t="shared" ref="B212:D213" si="0">B10</f>
        <v>Детали стальных трубчатых лесов, укомплектованные пробками, крючками и хомутами, окрашенные</v>
      </c>
      <c r="C212" s="1" t="str">
        <f t="shared" si="0"/>
        <v>т</v>
      </c>
      <c r="D212" s="3">
        <f t="shared" si="0"/>
        <v>4.7641650000000014E-7</v>
      </c>
      <c r="E212" s="3">
        <f>D212*'Исходные данные'!$D$2</f>
        <v>4.7641650000000014E-7</v>
      </c>
      <c r="F212" s="65"/>
      <c r="G212" s="68"/>
    </row>
    <row r="213" spans="1:7" ht="15.6" x14ac:dyDescent="0.3">
      <c r="A213" s="16"/>
      <c r="B213" s="19" t="str">
        <f t="shared" si="0"/>
        <v>Щиты настила</v>
      </c>
      <c r="C213" s="1" t="str">
        <f t="shared" si="0"/>
        <v>м2</v>
      </c>
      <c r="D213" s="3">
        <f t="shared" si="0"/>
        <v>4.6280460000000009E-5</v>
      </c>
      <c r="E213" s="3">
        <f>D213*'Исходные данные'!$D$2</f>
        <v>4.6280460000000009E-5</v>
      </c>
      <c r="F213" s="65"/>
      <c r="G213" s="68"/>
    </row>
    <row r="214" spans="1:7" ht="15.6" x14ac:dyDescent="0.3">
      <c r="A214" s="16"/>
      <c r="B214" s="18" t="s">
        <v>88</v>
      </c>
      <c r="C214" s="2"/>
      <c r="D214" s="3"/>
      <c r="E214" s="3"/>
      <c r="F214" s="65"/>
      <c r="G214" s="68"/>
    </row>
    <row r="215" spans="1:7" ht="15.6" x14ac:dyDescent="0.3">
      <c r="A215" s="16"/>
      <c r="B215" s="17" t="s">
        <v>90</v>
      </c>
      <c r="C215" s="2"/>
      <c r="D215" s="3"/>
      <c r="E215" s="3"/>
      <c r="F215" s="66"/>
      <c r="G215" s="69"/>
    </row>
    <row r="216" spans="1:7" ht="15.6" x14ac:dyDescent="0.3">
      <c r="A216" s="52" t="s">
        <v>81</v>
      </c>
      <c r="B216" s="53"/>
      <c r="C216" s="53"/>
      <c r="D216" s="53"/>
      <c r="E216" s="53"/>
      <c r="F216" s="53"/>
      <c r="G216" s="54"/>
    </row>
    <row r="217" spans="1:7" ht="31.2" x14ac:dyDescent="0.3">
      <c r="A217" s="16">
        <v>1</v>
      </c>
      <c r="B217" s="19" t="s">
        <v>149</v>
      </c>
      <c r="C217" s="1" t="s">
        <v>29</v>
      </c>
      <c r="D217" s="80">
        <f>'Исходные данные'!D19</f>
        <v>1</v>
      </c>
      <c r="E217" s="81"/>
      <c r="F217" s="64"/>
      <c r="G217" s="67" t="s">
        <v>148</v>
      </c>
    </row>
    <row r="218" spans="1:7" ht="15.6" x14ac:dyDescent="0.3">
      <c r="A218" s="16"/>
      <c r="B218" s="18" t="s">
        <v>87</v>
      </c>
      <c r="C218" s="1"/>
      <c r="D218" s="80"/>
      <c r="E218" s="81"/>
      <c r="F218" s="65"/>
      <c r="G218" s="68"/>
    </row>
    <row r="219" spans="1:7" ht="15.6" x14ac:dyDescent="0.3">
      <c r="A219" s="16"/>
      <c r="B219" s="19" t="s">
        <v>16</v>
      </c>
      <c r="C219" s="1" t="s">
        <v>3</v>
      </c>
      <c r="D219" s="82">
        <f>(25.47*2/1000)*D217</f>
        <v>5.0939999999999999E-2</v>
      </c>
      <c r="E219" s="83"/>
      <c r="F219" s="65"/>
      <c r="G219" s="68"/>
    </row>
    <row r="220" spans="1:7" ht="15.6" x14ac:dyDescent="0.3">
      <c r="A220" s="16"/>
      <c r="B220" s="19" t="s">
        <v>150</v>
      </c>
      <c r="C220" s="1" t="s">
        <v>3</v>
      </c>
      <c r="D220" s="82">
        <f>0.005*D217</f>
        <v>5.0000000000000001E-3</v>
      </c>
      <c r="E220" s="83"/>
      <c r="F220" s="65"/>
      <c r="G220" s="68"/>
    </row>
    <row r="221" spans="1:7" ht="15.6" x14ac:dyDescent="0.3">
      <c r="A221" s="16"/>
      <c r="B221" s="18" t="s">
        <v>88</v>
      </c>
      <c r="C221" s="2"/>
      <c r="D221" s="84"/>
      <c r="E221" s="85"/>
      <c r="F221" s="65"/>
      <c r="G221" s="68"/>
    </row>
    <row r="222" spans="1:7" ht="31.2" x14ac:dyDescent="0.3">
      <c r="A222" s="16"/>
      <c r="B222" s="19" t="s">
        <v>152</v>
      </c>
      <c r="C222" s="1"/>
      <c r="D222" s="82"/>
      <c r="E222" s="83"/>
      <c r="F222" s="65"/>
      <c r="G222" s="68"/>
    </row>
    <row r="223" spans="1:7" ht="46.8" x14ac:dyDescent="0.3">
      <c r="A223" s="16"/>
      <c r="B223" s="19" t="s">
        <v>115</v>
      </c>
      <c r="C223" s="1"/>
      <c r="D223" s="82"/>
      <c r="E223" s="83"/>
      <c r="F223" s="65"/>
      <c r="G223" s="68"/>
    </row>
    <row r="224" spans="1:7" ht="15.6" x14ac:dyDescent="0.3">
      <c r="A224" s="16"/>
      <c r="B224" s="19" t="s">
        <v>153</v>
      </c>
      <c r="C224" s="1"/>
      <c r="D224" s="82"/>
      <c r="E224" s="83"/>
      <c r="F224" s="66"/>
      <c r="G224" s="69"/>
    </row>
    <row r="225" spans="1:7" ht="46.8" x14ac:dyDescent="0.3">
      <c r="A225" s="16">
        <v>2</v>
      </c>
      <c r="B225" s="19" t="s">
        <v>171</v>
      </c>
      <c r="C225" s="2" t="s">
        <v>158</v>
      </c>
      <c r="D225" s="80">
        <f>9/100</f>
        <v>0.09</v>
      </c>
      <c r="E225" s="81"/>
      <c r="F225" s="64"/>
      <c r="G225" s="67" t="s">
        <v>170</v>
      </c>
    </row>
    <row r="226" spans="1:7" ht="15.6" x14ac:dyDescent="0.3">
      <c r="A226" s="16"/>
      <c r="B226" s="18" t="s">
        <v>87</v>
      </c>
      <c r="C226" s="1"/>
      <c r="D226" s="80"/>
      <c r="E226" s="81"/>
      <c r="F226" s="65"/>
      <c r="G226" s="68"/>
    </row>
    <row r="227" spans="1:7" ht="15.6" x14ac:dyDescent="0.3">
      <c r="A227" s="16"/>
      <c r="B227" s="19" t="s">
        <v>16</v>
      </c>
      <c r="C227" s="1" t="s">
        <v>3</v>
      </c>
      <c r="D227" s="82">
        <f>0.006*D225</f>
        <v>5.4000000000000001E-4</v>
      </c>
      <c r="E227" s="83"/>
      <c r="F227" s="65"/>
      <c r="G227" s="68"/>
    </row>
    <row r="228" spans="1:7" ht="15.6" x14ac:dyDescent="0.3">
      <c r="A228" s="16"/>
      <c r="B228" s="19" t="s">
        <v>150</v>
      </c>
      <c r="C228" s="1" t="s">
        <v>3</v>
      </c>
      <c r="D228" s="80">
        <f>0.09*D225</f>
        <v>8.0999999999999996E-3</v>
      </c>
      <c r="E228" s="81"/>
      <c r="F228" s="65"/>
      <c r="G228" s="68"/>
    </row>
    <row r="229" spans="1:7" ht="15.6" x14ac:dyDescent="0.3">
      <c r="A229" s="16"/>
      <c r="B229" s="18" t="s">
        <v>88</v>
      </c>
      <c r="C229" s="1"/>
      <c r="D229" s="80"/>
      <c r="E229" s="81"/>
      <c r="F229" s="65"/>
      <c r="G229" s="68"/>
    </row>
    <row r="230" spans="1:7" ht="31.2" x14ac:dyDescent="0.3">
      <c r="A230" s="16"/>
      <c r="B230" s="19" t="s">
        <v>155</v>
      </c>
      <c r="C230" s="1"/>
      <c r="D230" s="80"/>
      <c r="E230" s="81"/>
      <c r="F230" s="65"/>
      <c r="G230" s="68"/>
    </row>
    <row r="231" spans="1:7" ht="31.2" x14ac:dyDescent="0.3">
      <c r="A231" s="16"/>
      <c r="B231" s="19" t="s">
        <v>156</v>
      </c>
      <c r="C231" s="1"/>
      <c r="D231" s="80"/>
      <c r="E231" s="81"/>
      <c r="F231" s="65"/>
      <c r="G231" s="68"/>
    </row>
    <row r="232" spans="1:7" ht="15.6" x14ac:dyDescent="0.3">
      <c r="A232" s="16"/>
      <c r="B232" s="19" t="s">
        <v>157</v>
      </c>
      <c r="C232" s="1"/>
      <c r="D232" s="80"/>
      <c r="E232" s="81"/>
      <c r="F232" s="66"/>
      <c r="G232" s="69"/>
    </row>
    <row r="233" spans="1:7" ht="31.8" thickBot="1" x14ac:dyDescent="0.35">
      <c r="A233" s="22">
        <v>3</v>
      </c>
      <c r="B233" s="23" t="s">
        <v>12</v>
      </c>
      <c r="C233" s="24" t="s">
        <v>159</v>
      </c>
      <c r="D233" s="77">
        <f>('Исходные данные'!D19+'Исходные данные'!D2)/100</f>
        <v>0.02</v>
      </c>
      <c r="E233" s="78"/>
      <c r="F233" s="25"/>
      <c r="G233" s="26" t="s">
        <v>160</v>
      </c>
    </row>
    <row r="234" spans="1:7" ht="15.6" x14ac:dyDescent="0.3">
      <c r="A234" s="27"/>
      <c r="B234" s="28"/>
      <c r="C234" s="27"/>
      <c r="D234" s="29"/>
      <c r="E234" s="29"/>
      <c r="F234" s="28"/>
      <c r="G234" s="27"/>
    </row>
    <row r="235" spans="1:7" ht="15.6" x14ac:dyDescent="0.3">
      <c r="A235" s="21"/>
      <c r="B235" s="21"/>
      <c r="C235" s="79" t="s">
        <v>79</v>
      </c>
      <c r="D235" s="79"/>
      <c r="E235" s="30"/>
      <c r="F235" s="31" t="s">
        <v>13</v>
      </c>
      <c r="G235" s="27"/>
    </row>
    <row r="236" spans="1:7" ht="15.6" x14ac:dyDescent="0.3">
      <c r="A236" s="21"/>
      <c r="B236" s="21"/>
      <c r="C236" s="21"/>
      <c r="D236" s="21"/>
      <c r="E236" s="21"/>
      <c r="F236" s="21"/>
      <c r="G236" s="27"/>
    </row>
    <row r="237" spans="1:7" ht="15.6" x14ac:dyDescent="0.3">
      <c r="A237" s="21"/>
      <c r="B237" s="21"/>
      <c r="C237" s="79" t="s">
        <v>44</v>
      </c>
      <c r="D237" s="79"/>
      <c r="E237" s="30"/>
      <c r="F237" s="32" t="s">
        <v>45</v>
      </c>
      <c r="G237" s="27"/>
    </row>
    <row r="238" spans="1:7" ht="15.6" x14ac:dyDescent="0.3">
      <c r="A238" s="21"/>
      <c r="B238" s="21"/>
      <c r="C238" s="21"/>
      <c r="D238" s="21"/>
      <c r="E238" s="21"/>
      <c r="F238" s="33"/>
      <c r="G238" s="27"/>
    </row>
    <row r="239" spans="1:7" x14ac:dyDescent="0.3">
      <c r="A239" s="34"/>
      <c r="B239" s="34"/>
      <c r="C239" s="34"/>
      <c r="D239" s="34"/>
      <c r="E239" s="34"/>
      <c r="F239" s="35"/>
    </row>
    <row r="240" spans="1:7" x14ac:dyDescent="0.3">
      <c r="A240" s="36" t="s">
        <v>169</v>
      </c>
      <c r="B240" s="36"/>
      <c r="C240" s="36"/>
      <c r="D240" s="36"/>
      <c r="E240" s="36"/>
      <c r="F240" s="36"/>
      <c r="G240" s="36"/>
    </row>
    <row r="241" spans="1:7" x14ac:dyDescent="0.3">
      <c r="A241" s="36"/>
      <c r="B241" s="36"/>
      <c r="C241" s="36"/>
      <c r="D241" s="36"/>
      <c r="E241" s="36"/>
      <c r="F241" s="36"/>
      <c r="G241" s="36"/>
    </row>
    <row r="242" spans="1:7" x14ac:dyDescent="0.3">
      <c r="A242" s="36"/>
      <c r="B242" s="36"/>
      <c r="C242" s="36"/>
      <c r="D242" s="36"/>
      <c r="E242" s="36"/>
      <c r="F242" s="36"/>
      <c r="G242" s="36"/>
    </row>
    <row r="243" spans="1:7" x14ac:dyDescent="0.3">
      <c r="A243" s="36"/>
      <c r="B243" s="36"/>
      <c r="C243" s="36"/>
      <c r="D243" s="36"/>
      <c r="E243" s="36"/>
      <c r="F243" s="36"/>
      <c r="G243" s="36"/>
    </row>
    <row r="244" spans="1:7" x14ac:dyDescent="0.3">
      <c r="A244" s="36"/>
      <c r="B244" s="36"/>
      <c r="C244" s="36"/>
      <c r="D244" s="36"/>
      <c r="E244" s="36"/>
      <c r="F244" s="36"/>
      <c r="G244" s="36"/>
    </row>
    <row r="245" spans="1:7" x14ac:dyDescent="0.3">
      <c r="A245" s="36"/>
      <c r="B245" s="36"/>
      <c r="C245" s="36"/>
      <c r="D245" s="36"/>
      <c r="E245" s="36"/>
      <c r="F245" s="36"/>
      <c r="G245" s="36"/>
    </row>
    <row r="246" spans="1:7" x14ac:dyDescent="0.3">
      <c r="A246" s="36"/>
      <c r="B246" s="36"/>
      <c r="C246" s="36"/>
      <c r="D246" s="36"/>
      <c r="E246" s="36"/>
      <c r="F246" s="36"/>
      <c r="G246" s="36"/>
    </row>
    <row r="247" spans="1:7" x14ac:dyDescent="0.3">
      <c r="A247" s="36"/>
      <c r="B247" s="36"/>
      <c r="C247" s="36"/>
      <c r="D247" s="36"/>
      <c r="E247" s="36"/>
      <c r="F247" s="36"/>
      <c r="G247" s="36"/>
    </row>
    <row r="248" spans="1:7" x14ac:dyDescent="0.3">
      <c r="A248" s="34"/>
      <c r="B248" s="34"/>
      <c r="C248" s="34"/>
      <c r="D248" s="34"/>
      <c r="E248" s="34"/>
      <c r="F248" s="35"/>
    </row>
    <row r="249" spans="1:7" x14ac:dyDescent="0.3">
      <c r="A249" s="34"/>
      <c r="B249" s="34"/>
      <c r="C249" s="34"/>
      <c r="D249" s="34"/>
      <c r="E249" s="34"/>
      <c r="F249" s="35"/>
    </row>
    <row r="250" spans="1:7" x14ac:dyDescent="0.3">
      <c r="A250" s="34"/>
      <c r="B250" s="34"/>
      <c r="C250" s="34"/>
      <c r="D250" s="34"/>
      <c r="E250" s="34"/>
      <c r="F250" s="35"/>
    </row>
    <row r="251" spans="1:7" x14ac:dyDescent="0.3">
      <c r="A251" s="34"/>
      <c r="B251" s="34"/>
      <c r="C251" s="34"/>
      <c r="D251" s="34"/>
      <c r="E251" s="34"/>
      <c r="F251" s="35"/>
    </row>
    <row r="252" spans="1:7" x14ac:dyDescent="0.3">
      <c r="A252" s="34"/>
      <c r="B252" s="34"/>
      <c r="C252" s="34"/>
      <c r="D252" s="34"/>
      <c r="E252" s="34"/>
      <c r="F252" s="35"/>
    </row>
    <row r="253" spans="1:7" x14ac:dyDescent="0.3">
      <c r="A253" s="34"/>
      <c r="B253" s="34"/>
      <c r="C253" s="34"/>
      <c r="D253" s="34"/>
      <c r="E253" s="34"/>
      <c r="F253" s="35"/>
    </row>
    <row r="254" spans="1:7" x14ac:dyDescent="0.3">
      <c r="A254" s="34"/>
      <c r="B254" s="34"/>
      <c r="C254" s="34"/>
      <c r="D254" s="34"/>
      <c r="E254" s="34"/>
      <c r="F254" s="35"/>
    </row>
    <row r="255" spans="1:7" x14ac:dyDescent="0.3">
      <c r="A255" s="34"/>
      <c r="B255" s="34"/>
      <c r="C255" s="34"/>
      <c r="D255" s="34"/>
      <c r="E255" s="34"/>
      <c r="F255" s="35"/>
    </row>
    <row r="256" spans="1:7" x14ac:dyDescent="0.3">
      <c r="A256" s="34"/>
      <c r="B256" s="34"/>
      <c r="C256" s="34"/>
      <c r="D256" s="34"/>
      <c r="E256" s="34"/>
      <c r="F256" s="35"/>
    </row>
    <row r="257" spans="1:6" x14ac:dyDescent="0.3">
      <c r="A257" s="34"/>
      <c r="B257" s="34"/>
      <c r="C257" s="34"/>
      <c r="D257" s="34"/>
      <c r="E257" s="34"/>
      <c r="F257" s="35"/>
    </row>
    <row r="258" spans="1:6" x14ac:dyDescent="0.3">
      <c r="A258" s="34"/>
      <c r="B258" s="34"/>
      <c r="C258" s="34"/>
      <c r="D258" s="34"/>
      <c r="E258" s="34"/>
      <c r="F258" s="35"/>
    </row>
    <row r="259" spans="1:6" x14ac:dyDescent="0.3">
      <c r="A259" s="34"/>
      <c r="B259" s="34"/>
      <c r="C259" s="34"/>
      <c r="D259" s="34"/>
      <c r="E259" s="34"/>
      <c r="F259" s="35"/>
    </row>
    <row r="260" spans="1:6" x14ac:dyDescent="0.3">
      <c r="A260" s="34"/>
      <c r="B260" s="34"/>
      <c r="C260" s="34"/>
      <c r="D260" s="34"/>
      <c r="E260" s="34"/>
      <c r="F260" s="35"/>
    </row>
    <row r="261" spans="1:6" x14ac:dyDescent="0.3">
      <c r="A261" s="34"/>
      <c r="B261" s="34"/>
      <c r="C261" s="34"/>
      <c r="D261" s="34"/>
      <c r="E261" s="34"/>
      <c r="F261" s="35"/>
    </row>
    <row r="262" spans="1:6" x14ac:dyDescent="0.3">
      <c r="A262" s="34"/>
      <c r="B262" s="34"/>
      <c r="C262" s="34"/>
      <c r="D262" s="34"/>
      <c r="E262" s="34"/>
      <c r="F262" s="35"/>
    </row>
    <row r="263" spans="1:6" x14ac:dyDescent="0.3">
      <c r="A263" s="34"/>
      <c r="B263" s="34"/>
      <c r="C263" s="34"/>
      <c r="D263" s="34"/>
      <c r="E263" s="34"/>
      <c r="F263" s="35"/>
    </row>
    <row r="264" spans="1:6" x14ac:dyDescent="0.3">
      <c r="A264" s="34"/>
      <c r="B264" s="34"/>
      <c r="C264" s="34"/>
      <c r="D264" s="34"/>
      <c r="E264" s="34"/>
      <c r="F264" s="35"/>
    </row>
    <row r="265" spans="1:6" x14ac:dyDescent="0.3">
      <c r="A265" s="34"/>
      <c r="B265" s="34"/>
      <c r="C265" s="34"/>
      <c r="D265" s="34"/>
      <c r="E265" s="34"/>
      <c r="F265" s="35"/>
    </row>
    <row r="266" spans="1:6" x14ac:dyDescent="0.3">
      <c r="A266" s="34"/>
      <c r="B266" s="34"/>
      <c r="C266" s="34"/>
      <c r="D266" s="34"/>
      <c r="E266" s="34"/>
      <c r="F266" s="35"/>
    </row>
    <row r="267" spans="1:6" x14ac:dyDescent="0.3">
      <c r="A267" s="34"/>
      <c r="B267" s="34"/>
      <c r="C267" s="34"/>
      <c r="D267" s="34"/>
      <c r="E267" s="34"/>
      <c r="F267" s="35"/>
    </row>
    <row r="268" spans="1:6" x14ac:dyDescent="0.3">
      <c r="A268" s="34"/>
      <c r="B268" s="34"/>
      <c r="C268" s="34"/>
      <c r="D268" s="34"/>
      <c r="E268" s="34"/>
      <c r="F268" s="35"/>
    </row>
    <row r="269" spans="1:6" x14ac:dyDescent="0.3">
      <c r="A269" s="34"/>
      <c r="B269" s="34"/>
      <c r="C269" s="34"/>
      <c r="D269" s="34"/>
      <c r="E269" s="34"/>
      <c r="F269" s="35"/>
    </row>
    <row r="270" spans="1:6" x14ac:dyDescent="0.3">
      <c r="A270" s="34"/>
      <c r="B270" s="34"/>
      <c r="C270" s="34"/>
      <c r="D270" s="34"/>
      <c r="E270" s="34"/>
      <c r="F270" s="35"/>
    </row>
    <row r="271" spans="1:6" x14ac:dyDescent="0.3">
      <c r="A271" s="34"/>
      <c r="B271" s="34"/>
      <c r="C271" s="34"/>
      <c r="D271" s="34"/>
      <c r="E271" s="34"/>
      <c r="F271" s="35"/>
    </row>
    <row r="272" spans="1:6" x14ac:dyDescent="0.3">
      <c r="A272" s="34"/>
      <c r="B272" s="34"/>
      <c r="C272" s="34"/>
      <c r="D272" s="34"/>
      <c r="E272" s="34"/>
      <c r="F272" s="35"/>
    </row>
    <row r="273" spans="1:6" x14ac:dyDescent="0.3">
      <c r="A273" s="34"/>
      <c r="B273" s="34"/>
      <c r="C273" s="34"/>
      <c r="D273" s="34"/>
      <c r="E273" s="34"/>
      <c r="F273" s="35"/>
    </row>
    <row r="274" spans="1:6" x14ac:dyDescent="0.3">
      <c r="A274" s="34"/>
      <c r="B274" s="34"/>
      <c r="C274" s="34"/>
      <c r="D274" s="34"/>
      <c r="E274" s="34"/>
      <c r="F274" s="35"/>
    </row>
    <row r="275" spans="1:6" x14ac:dyDescent="0.3">
      <c r="A275" s="34"/>
      <c r="B275" s="34"/>
      <c r="C275" s="34"/>
      <c r="D275" s="34"/>
      <c r="E275" s="34"/>
      <c r="F275" s="35"/>
    </row>
    <row r="276" spans="1:6" x14ac:dyDescent="0.3">
      <c r="A276" s="34"/>
      <c r="B276" s="34"/>
      <c r="C276" s="34"/>
      <c r="D276" s="34"/>
      <c r="E276" s="34"/>
      <c r="F276" s="35"/>
    </row>
    <row r="277" spans="1:6" x14ac:dyDescent="0.3">
      <c r="A277" s="34"/>
      <c r="B277" s="34"/>
      <c r="C277" s="34"/>
      <c r="D277" s="34"/>
      <c r="E277" s="34"/>
      <c r="F277" s="35"/>
    </row>
    <row r="278" spans="1:6" x14ac:dyDescent="0.3">
      <c r="A278" s="34"/>
      <c r="B278" s="34"/>
      <c r="C278" s="34"/>
      <c r="D278" s="34"/>
      <c r="E278" s="34"/>
      <c r="F278" s="35"/>
    </row>
    <row r="279" spans="1:6" x14ac:dyDescent="0.3">
      <c r="A279" s="34"/>
      <c r="B279" s="34"/>
      <c r="C279" s="34"/>
      <c r="D279" s="34"/>
      <c r="E279" s="34"/>
      <c r="F279" s="35"/>
    </row>
    <row r="280" spans="1:6" x14ac:dyDescent="0.3">
      <c r="A280" s="34"/>
      <c r="B280" s="34"/>
      <c r="C280" s="34"/>
      <c r="D280" s="34"/>
      <c r="E280" s="34"/>
      <c r="F280" s="35"/>
    </row>
    <row r="281" spans="1:6" x14ac:dyDescent="0.3">
      <c r="A281" s="34"/>
      <c r="B281" s="34"/>
      <c r="C281" s="34"/>
      <c r="D281" s="34"/>
      <c r="E281" s="34"/>
      <c r="F281" s="35"/>
    </row>
    <row r="282" spans="1:6" x14ac:dyDescent="0.3">
      <c r="A282" s="34"/>
      <c r="B282" s="34"/>
      <c r="C282" s="34"/>
      <c r="D282" s="34"/>
      <c r="E282" s="34"/>
      <c r="F282" s="35"/>
    </row>
    <row r="283" spans="1:6" x14ac:dyDescent="0.3">
      <c r="A283" s="34"/>
      <c r="B283" s="34"/>
      <c r="C283" s="34"/>
      <c r="D283" s="34"/>
      <c r="E283" s="34"/>
      <c r="F283" s="35"/>
    </row>
    <row r="284" spans="1:6" x14ac:dyDescent="0.3">
      <c r="A284" s="34"/>
      <c r="B284" s="34"/>
      <c r="C284" s="34"/>
      <c r="D284" s="34"/>
      <c r="E284" s="34"/>
      <c r="F284" s="35"/>
    </row>
    <row r="285" spans="1:6" x14ac:dyDescent="0.3">
      <c r="A285" s="34"/>
      <c r="B285" s="34"/>
      <c r="C285" s="34"/>
      <c r="D285" s="34"/>
      <c r="E285" s="34"/>
      <c r="F285" s="35"/>
    </row>
    <row r="286" spans="1:6" x14ac:dyDescent="0.3">
      <c r="A286" s="34"/>
      <c r="B286" s="34"/>
      <c r="C286" s="34"/>
      <c r="D286" s="34"/>
      <c r="E286" s="34"/>
      <c r="F286" s="35"/>
    </row>
    <row r="287" spans="1:6" x14ac:dyDescent="0.3">
      <c r="A287" s="34"/>
      <c r="B287" s="34"/>
      <c r="C287" s="34"/>
      <c r="D287" s="34"/>
      <c r="E287" s="34"/>
      <c r="F287" s="35"/>
    </row>
    <row r="288" spans="1:6" x14ac:dyDescent="0.3">
      <c r="A288" s="34"/>
      <c r="B288" s="34"/>
      <c r="C288" s="34"/>
      <c r="D288" s="34"/>
      <c r="E288" s="34"/>
      <c r="F288" s="35"/>
    </row>
    <row r="289" spans="1:6" x14ac:dyDescent="0.3">
      <c r="A289" s="34"/>
      <c r="B289" s="34"/>
      <c r="C289" s="34"/>
      <c r="D289" s="34"/>
      <c r="E289" s="34"/>
      <c r="F289" s="35"/>
    </row>
    <row r="290" spans="1:6" x14ac:dyDescent="0.3">
      <c r="A290" s="34"/>
      <c r="B290" s="34"/>
      <c r="C290" s="34"/>
      <c r="D290" s="34"/>
      <c r="E290" s="34"/>
      <c r="F290" s="35"/>
    </row>
    <row r="291" spans="1:6" x14ac:dyDescent="0.3">
      <c r="A291" s="34"/>
      <c r="B291" s="34"/>
      <c r="C291" s="34"/>
      <c r="D291" s="34"/>
      <c r="E291" s="34"/>
      <c r="F291" s="35"/>
    </row>
    <row r="292" spans="1:6" x14ac:dyDescent="0.3">
      <c r="A292" s="34"/>
      <c r="B292" s="34"/>
      <c r="C292" s="34"/>
      <c r="D292" s="34"/>
      <c r="E292" s="34"/>
      <c r="F292" s="35"/>
    </row>
    <row r="293" spans="1:6" x14ac:dyDescent="0.3">
      <c r="A293" s="34"/>
      <c r="B293" s="34"/>
      <c r="C293" s="34"/>
      <c r="D293" s="34"/>
      <c r="E293" s="34"/>
      <c r="F293" s="35"/>
    </row>
    <row r="294" spans="1:6" x14ac:dyDescent="0.3">
      <c r="A294" s="34"/>
      <c r="B294" s="34"/>
      <c r="C294" s="34"/>
      <c r="D294" s="34"/>
      <c r="E294" s="34"/>
      <c r="F294" s="35"/>
    </row>
    <row r="295" spans="1:6" x14ac:dyDescent="0.3">
      <c r="A295" s="34"/>
      <c r="B295" s="34"/>
      <c r="C295" s="34"/>
      <c r="D295" s="34"/>
      <c r="E295" s="34"/>
      <c r="F295" s="35"/>
    </row>
    <row r="296" spans="1:6" x14ac:dyDescent="0.3">
      <c r="A296" s="34"/>
      <c r="B296" s="34"/>
      <c r="C296" s="34"/>
      <c r="D296" s="34"/>
      <c r="E296" s="34"/>
      <c r="F296" s="35"/>
    </row>
    <row r="297" spans="1:6" x14ac:dyDescent="0.3">
      <c r="A297" s="34"/>
      <c r="B297" s="34"/>
      <c r="C297" s="34"/>
      <c r="D297" s="34"/>
      <c r="E297" s="34"/>
      <c r="F297" s="35"/>
    </row>
    <row r="298" spans="1:6" x14ac:dyDescent="0.3">
      <c r="A298" s="34"/>
      <c r="B298" s="34"/>
      <c r="C298" s="34"/>
      <c r="D298" s="34"/>
      <c r="E298" s="34"/>
      <c r="F298" s="35"/>
    </row>
    <row r="299" spans="1:6" x14ac:dyDescent="0.3">
      <c r="A299" s="34"/>
      <c r="B299" s="34"/>
      <c r="C299" s="34"/>
      <c r="D299" s="34"/>
      <c r="E299" s="34"/>
      <c r="F299" s="35"/>
    </row>
    <row r="300" spans="1:6" x14ac:dyDescent="0.3">
      <c r="A300" s="34"/>
      <c r="B300" s="34"/>
      <c r="C300" s="34"/>
      <c r="D300" s="34"/>
      <c r="E300" s="34"/>
      <c r="F300" s="35"/>
    </row>
    <row r="301" spans="1:6" x14ac:dyDescent="0.3">
      <c r="A301" s="34"/>
      <c r="B301" s="34"/>
      <c r="C301" s="34"/>
      <c r="D301" s="34"/>
      <c r="E301" s="34"/>
      <c r="F301" s="35"/>
    </row>
    <row r="302" spans="1:6" x14ac:dyDescent="0.3">
      <c r="A302" s="34"/>
      <c r="B302" s="34"/>
      <c r="C302" s="34"/>
      <c r="D302" s="34"/>
      <c r="E302" s="34"/>
      <c r="F302" s="35"/>
    </row>
    <row r="303" spans="1:6" x14ac:dyDescent="0.3">
      <c r="A303" s="34"/>
      <c r="B303" s="34"/>
      <c r="C303" s="34"/>
      <c r="D303" s="34"/>
      <c r="E303" s="34"/>
      <c r="F303" s="35"/>
    </row>
    <row r="304" spans="1:6" x14ac:dyDescent="0.3">
      <c r="A304" s="34"/>
      <c r="B304" s="34"/>
      <c r="C304" s="34"/>
      <c r="D304" s="34"/>
      <c r="E304" s="34"/>
      <c r="F304" s="35"/>
    </row>
    <row r="305" spans="1:6" x14ac:dyDescent="0.3">
      <c r="A305" s="34"/>
      <c r="B305" s="34"/>
      <c r="C305" s="34"/>
      <c r="D305" s="34"/>
      <c r="E305" s="34"/>
      <c r="F305" s="35"/>
    </row>
    <row r="306" spans="1:6" x14ac:dyDescent="0.3">
      <c r="A306" s="34"/>
      <c r="B306" s="34"/>
      <c r="C306" s="34"/>
      <c r="D306" s="34"/>
      <c r="E306" s="34"/>
      <c r="F306" s="35"/>
    </row>
    <row r="307" spans="1:6" x14ac:dyDescent="0.3">
      <c r="A307" s="34"/>
      <c r="B307" s="34"/>
      <c r="C307" s="34"/>
      <c r="D307" s="34"/>
      <c r="E307" s="34"/>
      <c r="F307" s="35"/>
    </row>
    <row r="308" spans="1:6" x14ac:dyDescent="0.3">
      <c r="A308" s="34"/>
      <c r="B308" s="34"/>
      <c r="C308" s="34"/>
      <c r="D308" s="34"/>
      <c r="E308" s="34"/>
      <c r="F308" s="35"/>
    </row>
    <row r="309" spans="1:6" x14ac:dyDescent="0.3">
      <c r="A309" s="34"/>
      <c r="B309" s="34"/>
      <c r="C309" s="34"/>
      <c r="D309" s="34"/>
      <c r="E309" s="34"/>
      <c r="F309" s="35"/>
    </row>
    <row r="310" spans="1:6" x14ac:dyDescent="0.3">
      <c r="A310" s="34"/>
      <c r="B310" s="34"/>
      <c r="C310" s="34"/>
      <c r="D310" s="34"/>
      <c r="E310" s="34"/>
      <c r="F310" s="35"/>
    </row>
    <row r="311" spans="1:6" x14ac:dyDescent="0.3">
      <c r="A311" s="34"/>
      <c r="B311" s="34"/>
      <c r="C311" s="34"/>
      <c r="D311" s="34"/>
      <c r="E311" s="34"/>
      <c r="F311" s="35"/>
    </row>
    <row r="312" spans="1:6" x14ac:dyDescent="0.3">
      <c r="A312" s="34"/>
      <c r="B312" s="34"/>
      <c r="C312" s="34"/>
      <c r="D312" s="34"/>
      <c r="E312" s="34"/>
      <c r="F312" s="35"/>
    </row>
    <row r="313" spans="1:6" x14ac:dyDescent="0.3">
      <c r="A313" s="34"/>
      <c r="B313" s="34"/>
      <c r="C313" s="34"/>
      <c r="D313" s="34"/>
      <c r="E313" s="34"/>
      <c r="F313" s="35"/>
    </row>
    <row r="314" spans="1:6" x14ac:dyDescent="0.3">
      <c r="A314" s="34"/>
      <c r="B314" s="34"/>
      <c r="C314" s="34"/>
      <c r="D314" s="34"/>
      <c r="E314" s="34"/>
      <c r="F314" s="35"/>
    </row>
    <row r="315" spans="1:6" x14ac:dyDescent="0.3">
      <c r="A315" s="34"/>
      <c r="B315" s="34"/>
      <c r="C315" s="34"/>
      <c r="D315" s="34"/>
      <c r="E315" s="34"/>
      <c r="F315" s="35"/>
    </row>
    <row r="316" spans="1:6" x14ac:dyDescent="0.3">
      <c r="A316" s="34"/>
      <c r="B316" s="34"/>
      <c r="C316" s="34"/>
      <c r="D316" s="34"/>
      <c r="E316" s="34"/>
      <c r="F316" s="35"/>
    </row>
    <row r="317" spans="1:6" x14ac:dyDescent="0.3">
      <c r="A317" s="34"/>
      <c r="B317" s="34"/>
      <c r="C317" s="34"/>
      <c r="D317" s="34"/>
      <c r="E317" s="34"/>
      <c r="F317" s="35"/>
    </row>
    <row r="318" spans="1:6" x14ac:dyDescent="0.3">
      <c r="A318" s="34"/>
      <c r="B318" s="34"/>
      <c r="C318" s="34"/>
      <c r="D318" s="34"/>
      <c r="E318" s="34"/>
      <c r="F318" s="35"/>
    </row>
    <row r="319" spans="1:6" x14ac:dyDescent="0.3">
      <c r="A319" s="34"/>
      <c r="B319" s="34"/>
      <c r="C319" s="34"/>
      <c r="D319" s="34"/>
      <c r="E319" s="34"/>
      <c r="F319" s="35"/>
    </row>
    <row r="320" spans="1:6" x14ac:dyDescent="0.3">
      <c r="A320" s="34"/>
      <c r="B320" s="34"/>
      <c r="C320" s="34"/>
      <c r="D320" s="34"/>
      <c r="E320" s="34"/>
      <c r="F320" s="35"/>
    </row>
    <row r="321" spans="1:6" x14ac:dyDescent="0.3">
      <c r="A321" s="34"/>
      <c r="B321" s="34"/>
      <c r="C321" s="34"/>
      <c r="D321" s="34"/>
      <c r="E321" s="34"/>
      <c r="F321" s="35"/>
    </row>
    <row r="322" spans="1:6" x14ac:dyDescent="0.3">
      <c r="A322" s="34"/>
      <c r="B322" s="34"/>
      <c r="C322" s="34"/>
      <c r="D322" s="34"/>
      <c r="E322" s="34"/>
      <c r="F322" s="35"/>
    </row>
    <row r="323" spans="1:6" x14ac:dyDescent="0.3">
      <c r="A323" s="34"/>
      <c r="B323" s="34"/>
      <c r="C323" s="34"/>
      <c r="D323" s="34"/>
      <c r="E323" s="34"/>
      <c r="F323" s="35"/>
    </row>
    <row r="324" spans="1:6" x14ac:dyDescent="0.3">
      <c r="A324" s="34"/>
      <c r="B324" s="34"/>
      <c r="C324" s="34"/>
      <c r="D324" s="34"/>
      <c r="E324" s="34"/>
      <c r="F324" s="35"/>
    </row>
    <row r="325" spans="1:6" x14ac:dyDescent="0.3">
      <c r="A325" s="34"/>
      <c r="B325" s="34"/>
      <c r="C325" s="34"/>
      <c r="D325" s="34"/>
      <c r="E325" s="34"/>
      <c r="F325" s="35"/>
    </row>
    <row r="326" spans="1:6" x14ac:dyDescent="0.3">
      <c r="A326" s="34"/>
      <c r="B326" s="34"/>
      <c r="C326" s="34"/>
      <c r="D326" s="34"/>
      <c r="E326" s="34"/>
      <c r="F326" s="35"/>
    </row>
    <row r="327" spans="1:6" x14ac:dyDescent="0.3">
      <c r="A327" s="34"/>
      <c r="B327" s="34"/>
      <c r="C327" s="34"/>
      <c r="D327" s="34"/>
      <c r="E327" s="34"/>
      <c r="F327" s="35"/>
    </row>
    <row r="328" spans="1:6" x14ac:dyDescent="0.3">
      <c r="A328" s="34"/>
      <c r="B328" s="34"/>
      <c r="C328" s="34"/>
      <c r="D328" s="34"/>
      <c r="E328" s="34"/>
      <c r="F328" s="35"/>
    </row>
    <row r="329" spans="1:6" x14ac:dyDescent="0.3">
      <c r="A329" s="34"/>
      <c r="B329" s="34"/>
      <c r="C329" s="34"/>
      <c r="D329" s="34"/>
      <c r="E329" s="34"/>
      <c r="F329" s="35"/>
    </row>
    <row r="330" spans="1:6" x14ac:dyDescent="0.3">
      <c r="A330" s="34"/>
      <c r="B330" s="34"/>
      <c r="C330" s="34"/>
      <c r="D330" s="34"/>
      <c r="E330" s="34"/>
      <c r="F330" s="35"/>
    </row>
    <row r="331" spans="1:6" x14ac:dyDescent="0.3">
      <c r="A331" s="34"/>
      <c r="B331" s="34"/>
      <c r="C331" s="34"/>
      <c r="D331" s="34"/>
      <c r="E331" s="34"/>
      <c r="F331" s="35"/>
    </row>
    <row r="332" spans="1:6" x14ac:dyDescent="0.3">
      <c r="A332" s="34"/>
      <c r="B332" s="34"/>
      <c r="C332" s="34"/>
      <c r="D332" s="34"/>
      <c r="E332" s="34"/>
      <c r="F332" s="35"/>
    </row>
    <row r="333" spans="1:6" x14ac:dyDescent="0.3">
      <c r="A333" s="34"/>
      <c r="B333" s="34"/>
      <c r="C333" s="34"/>
      <c r="D333" s="34"/>
      <c r="E333" s="34"/>
      <c r="F333" s="35"/>
    </row>
    <row r="334" spans="1:6" x14ac:dyDescent="0.3">
      <c r="A334" s="34"/>
      <c r="B334" s="34"/>
      <c r="C334" s="34"/>
      <c r="D334" s="34"/>
      <c r="E334" s="34"/>
      <c r="F334" s="35"/>
    </row>
    <row r="335" spans="1:6" x14ac:dyDescent="0.3">
      <c r="A335" s="34"/>
      <c r="B335" s="34"/>
      <c r="C335" s="34"/>
      <c r="D335" s="34"/>
      <c r="E335" s="34"/>
      <c r="F335" s="35"/>
    </row>
    <row r="336" spans="1:6" x14ac:dyDescent="0.3">
      <c r="A336" s="34"/>
      <c r="B336" s="34"/>
      <c r="C336" s="34"/>
      <c r="D336" s="34"/>
      <c r="E336" s="34"/>
      <c r="F336" s="35"/>
    </row>
    <row r="337" spans="1:6" x14ac:dyDescent="0.3">
      <c r="A337" s="37"/>
      <c r="B337" s="37"/>
      <c r="C337" s="37"/>
      <c r="D337" s="37"/>
      <c r="E337" s="37"/>
      <c r="F337" s="38"/>
    </row>
    <row r="338" spans="1:6" x14ac:dyDescent="0.3">
      <c r="A338" s="37"/>
      <c r="B338" s="37"/>
      <c r="C338" s="37"/>
      <c r="D338" s="37"/>
      <c r="E338" s="37"/>
      <c r="F338" s="38"/>
    </row>
    <row r="339" spans="1:6" x14ac:dyDescent="0.3">
      <c r="A339" s="37"/>
      <c r="B339" s="37"/>
      <c r="C339" s="37"/>
      <c r="D339" s="37"/>
      <c r="E339" s="37"/>
      <c r="F339" s="38"/>
    </row>
    <row r="340" spans="1:6" x14ac:dyDescent="0.3">
      <c r="A340" s="37"/>
      <c r="B340" s="37"/>
      <c r="C340" s="37"/>
      <c r="D340" s="37"/>
      <c r="E340" s="37"/>
      <c r="F340" s="38"/>
    </row>
    <row r="341" spans="1:6" x14ac:dyDescent="0.3">
      <c r="A341" s="37"/>
      <c r="B341" s="37"/>
      <c r="C341" s="37"/>
      <c r="D341" s="37"/>
      <c r="E341" s="37"/>
      <c r="F341" s="38"/>
    </row>
    <row r="342" spans="1:6" x14ac:dyDescent="0.3">
      <c r="A342" s="37"/>
      <c r="B342" s="37"/>
      <c r="C342" s="37"/>
      <c r="D342" s="37"/>
      <c r="E342" s="37"/>
      <c r="F342" s="38"/>
    </row>
    <row r="343" spans="1:6" x14ac:dyDescent="0.3">
      <c r="A343" s="37"/>
      <c r="B343" s="37"/>
      <c r="C343" s="37"/>
      <c r="D343" s="37"/>
      <c r="E343" s="37"/>
      <c r="F343" s="38"/>
    </row>
    <row r="344" spans="1:6" x14ac:dyDescent="0.3">
      <c r="A344" s="37"/>
      <c r="B344" s="37"/>
      <c r="C344" s="37"/>
      <c r="D344" s="37"/>
      <c r="E344" s="37"/>
      <c r="F344" s="38"/>
    </row>
    <row r="345" spans="1:6" x14ac:dyDescent="0.3">
      <c r="A345" s="37"/>
      <c r="B345" s="37"/>
      <c r="C345" s="37"/>
      <c r="D345" s="37"/>
      <c r="E345" s="37"/>
      <c r="F345" s="38"/>
    </row>
    <row r="346" spans="1:6" x14ac:dyDescent="0.3">
      <c r="A346" s="37"/>
      <c r="B346" s="37"/>
      <c r="C346" s="37"/>
      <c r="D346" s="37"/>
      <c r="E346" s="37"/>
      <c r="F346" s="38"/>
    </row>
    <row r="347" spans="1:6" x14ac:dyDescent="0.3">
      <c r="A347" s="37"/>
      <c r="B347" s="37"/>
      <c r="C347" s="37"/>
      <c r="D347" s="37"/>
      <c r="E347" s="37"/>
      <c r="F347" s="38"/>
    </row>
    <row r="348" spans="1:6" x14ac:dyDescent="0.3">
      <c r="A348" s="37"/>
      <c r="B348" s="37"/>
      <c r="C348" s="37"/>
      <c r="D348" s="37"/>
      <c r="E348" s="37"/>
      <c r="F348" s="38"/>
    </row>
    <row r="349" spans="1:6" x14ac:dyDescent="0.3">
      <c r="A349" s="37"/>
      <c r="B349" s="37"/>
      <c r="C349" s="37"/>
      <c r="D349" s="37"/>
      <c r="E349" s="37"/>
      <c r="F349" s="38"/>
    </row>
    <row r="350" spans="1:6" x14ac:dyDescent="0.3">
      <c r="A350" s="37"/>
      <c r="B350" s="37"/>
      <c r="C350" s="37"/>
      <c r="D350" s="37"/>
      <c r="E350" s="37"/>
      <c r="F350" s="38"/>
    </row>
    <row r="351" spans="1:6" x14ac:dyDescent="0.3">
      <c r="A351" s="37"/>
      <c r="B351" s="37"/>
      <c r="C351" s="37"/>
      <c r="D351" s="37"/>
      <c r="E351" s="37"/>
      <c r="F351" s="38"/>
    </row>
    <row r="352" spans="1:6" x14ac:dyDescent="0.3">
      <c r="A352" s="37"/>
      <c r="B352" s="37"/>
      <c r="C352" s="37"/>
      <c r="D352" s="37"/>
      <c r="E352" s="37"/>
      <c r="F352" s="38"/>
    </row>
    <row r="353" spans="1:6" x14ac:dyDescent="0.3">
      <c r="A353" s="37"/>
      <c r="B353" s="37"/>
      <c r="C353" s="37"/>
      <c r="D353" s="37"/>
      <c r="E353" s="37"/>
      <c r="F353" s="38"/>
    </row>
    <row r="354" spans="1:6" x14ac:dyDescent="0.3">
      <c r="A354" s="37"/>
      <c r="B354" s="37"/>
      <c r="C354" s="37"/>
      <c r="D354" s="37"/>
      <c r="E354" s="37"/>
      <c r="F354" s="38"/>
    </row>
    <row r="355" spans="1:6" x14ac:dyDescent="0.3">
      <c r="A355" s="37"/>
      <c r="B355" s="37"/>
      <c r="C355" s="37"/>
      <c r="D355" s="37"/>
      <c r="E355" s="37"/>
      <c r="F355" s="38"/>
    </row>
    <row r="356" spans="1:6" x14ac:dyDescent="0.3">
      <c r="A356" s="37"/>
      <c r="B356" s="37"/>
      <c r="C356" s="37"/>
      <c r="D356" s="37"/>
      <c r="E356" s="37"/>
      <c r="F356" s="38"/>
    </row>
    <row r="357" spans="1:6" x14ac:dyDescent="0.3">
      <c r="A357" s="37"/>
      <c r="B357" s="37"/>
      <c r="C357" s="37"/>
      <c r="D357" s="37"/>
      <c r="E357" s="37"/>
      <c r="F357" s="38"/>
    </row>
    <row r="358" spans="1:6" x14ac:dyDescent="0.3">
      <c r="A358" s="37"/>
      <c r="B358" s="37"/>
      <c r="C358" s="37"/>
      <c r="D358" s="37"/>
      <c r="E358" s="37"/>
      <c r="F358" s="38"/>
    </row>
    <row r="359" spans="1:6" x14ac:dyDescent="0.3">
      <c r="A359" s="37"/>
      <c r="B359" s="37"/>
      <c r="C359" s="37"/>
      <c r="D359" s="37"/>
      <c r="E359" s="37"/>
      <c r="F359" s="38"/>
    </row>
    <row r="360" spans="1:6" x14ac:dyDescent="0.3">
      <c r="A360" s="37"/>
      <c r="B360" s="37"/>
      <c r="C360" s="37"/>
      <c r="D360" s="37"/>
      <c r="E360" s="37"/>
      <c r="F360" s="38"/>
    </row>
    <row r="361" spans="1:6" x14ac:dyDescent="0.3">
      <c r="A361" s="37"/>
      <c r="B361" s="37"/>
      <c r="C361" s="37"/>
      <c r="D361" s="37"/>
      <c r="E361" s="37"/>
      <c r="F361" s="38"/>
    </row>
    <row r="362" spans="1:6" x14ac:dyDescent="0.3">
      <c r="A362" s="37"/>
      <c r="B362" s="37"/>
      <c r="C362" s="37"/>
      <c r="D362" s="37"/>
      <c r="E362" s="37"/>
      <c r="F362" s="38"/>
    </row>
    <row r="363" spans="1:6" x14ac:dyDescent="0.3">
      <c r="A363" s="37"/>
      <c r="B363" s="37"/>
      <c r="C363" s="37"/>
      <c r="D363" s="37"/>
      <c r="E363" s="37"/>
      <c r="F363" s="38"/>
    </row>
    <row r="364" spans="1:6" x14ac:dyDescent="0.3">
      <c r="A364" s="37"/>
      <c r="B364" s="37"/>
      <c r="C364" s="37"/>
      <c r="D364" s="37"/>
      <c r="E364" s="37"/>
      <c r="F364" s="38"/>
    </row>
    <row r="365" spans="1:6" x14ac:dyDescent="0.3">
      <c r="A365" s="37"/>
      <c r="B365" s="37"/>
      <c r="C365" s="37"/>
      <c r="D365" s="37"/>
      <c r="E365" s="37"/>
      <c r="F365" s="38"/>
    </row>
    <row r="366" spans="1:6" x14ac:dyDescent="0.3">
      <c r="A366" s="37"/>
      <c r="B366" s="37"/>
      <c r="C366" s="37"/>
      <c r="D366" s="37"/>
      <c r="E366" s="37"/>
      <c r="F366" s="38"/>
    </row>
    <row r="367" spans="1:6" x14ac:dyDescent="0.3">
      <c r="A367" s="37"/>
      <c r="B367" s="37"/>
      <c r="C367" s="37"/>
      <c r="D367" s="37"/>
      <c r="E367" s="37"/>
      <c r="F367" s="38"/>
    </row>
    <row r="368" spans="1:6" x14ac:dyDescent="0.3">
      <c r="A368" s="37"/>
      <c r="B368" s="37"/>
      <c r="C368" s="37"/>
      <c r="D368" s="37"/>
      <c r="E368" s="37"/>
      <c r="F368" s="38"/>
    </row>
    <row r="369" spans="1:6" x14ac:dyDescent="0.3">
      <c r="A369" s="37"/>
      <c r="B369" s="37"/>
      <c r="C369" s="37"/>
      <c r="D369" s="37"/>
      <c r="E369" s="37"/>
      <c r="F369" s="38"/>
    </row>
    <row r="370" spans="1:6" x14ac:dyDescent="0.3">
      <c r="A370" s="37"/>
      <c r="B370" s="37"/>
      <c r="C370" s="37"/>
      <c r="D370" s="37"/>
      <c r="E370" s="37"/>
      <c r="F370" s="38"/>
    </row>
    <row r="371" spans="1:6" x14ac:dyDescent="0.3">
      <c r="A371" s="37"/>
      <c r="B371" s="37"/>
      <c r="C371" s="37"/>
      <c r="D371" s="37"/>
      <c r="E371" s="37"/>
      <c r="F371" s="38"/>
    </row>
    <row r="372" spans="1:6" x14ac:dyDescent="0.3">
      <c r="A372" s="37"/>
      <c r="B372" s="37"/>
      <c r="C372" s="37"/>
      <c r="D372" s="37"/>
      <c r="E372" s="37"/>
      <c r="F372" s="38"/>
    </row>
    <row r="373" spans="1:6" x14ac:dyDescent="0.3">
      <c r="A373" s="37"/>
      <c r="B373" s="37"/>
      <c r="C373" s="37"/>
      <c r="D373" s="37"/>
      <c r="E373" s="37"/>
      <c r="F373" s="38"/>
    </row>
    <row r="374" spans="1:6" x14ac:dyDescent="0.3">
      <c r="A374" s="37"/>
      <c r="B374" s="37"/>
      <c r="C374" s="37"/>
      <c r="D374" s="37"/>
      <c r="E374" s="37"/>
      <c r="F374" s="38"/>
    </row>
    <row r="375" spans="1:6" x14ac:dyDescent="0.3">
      <c r="A375" s="37"/>
      <c r="B375" s="37"/>
      <c r="C375" s="37"/>
      <c r="D375" s="37"/>
      <c r="E375" s="37"/>
      <c r="F375" s="38"/>
    </row>
    <row r="376" spans="1:6" x14ac:dyDescent="0.3">
      <c r="A376" s="37"/>
      <c r="B376" s="37"/>
      <c r="C376" s="37"/>
      <c r="D376" s="37"/>
      <c r="E376" s="37"/>
      <c r="F376" s="38"/>
    </row>
    <row r="377" spans="1:6" x14ac:dyDescent="0.3">
      <c r="A377" s="37"/>
      <c r="B377" s="37"/>
      <c r="C377" s="37"/>
      <c r="D377" s="37"/>
      <c r="E377" s="37"/>
      <c r="F377" s="38"/>
    </row>
    <row r="378" spans="1:6" x14ac:dyDescent="0.3">
      <c r="A378" s="37"/>
      <c r="B378" s="37"/>
      <c r="C378" s="37"/>
      <c r="D378" s="37"/>
      <c r="E378" s="37"/>
      <c r="F378" s="38"/>
    </row>
    <row r="379" spans="1:6" x14ac:dyDescent="0.3">
      <c r="A379" s="37"/>
      <c r="B379" s="37"/>
      <c r="C379" s="37"/>
      <c r="D379" s="37"/>
      <c r="E379" s="37"/>
      <c r="F379" s="38"/>
    </row>
    <row r="380" spans="1:6" x14ac:dyDescent="0.3">
      <c r="A380" s="37"/>
      <c r="B380" s="37"/>
      <c r="C380" s="37"/>
      <c r="D380" s="37"/>
      <c r="E380" s="37"/>
      <c r="F380" s="38"/>
    </row>
    <row r="381" spans="1:6" x14ac:dyDescent="0.3">
      <c r="A381" s="37"/>
      <c r="B381" s="37"/>
      <c r="C381" s="37"/>
      <c r="D381" s="37"/>
      <c r="E381" s="37"/>
      <c r="F381" s="38"/>
    </row>
    <row r="382" spans="1:6" x14ac:dyDescent="0.3">
      <c r="A382" s="37"/>
      <c r="B382" s="37"/>
      <c r="C382" s="37"/>
      <c r="D382" s="37"/>
      <c r="E382" s="37"/>
      <c r="F382" s="38"/>
    </row>
    <row r="383" spans="1:6" x14ac:dyDescent="0.3">
      <c r="A383" s="37"/>
      <c r="B383" s="37"/>
      <c r="C383" s="37"/>
      <c r="D383" s="37"/>
      <c r="E383" s="37"/>
      <c r="F383" s="38"/>
    </row>
    <row r="384" spans="1:6" x14ac:dyDescent="0.3">
      <c r="A384" s="37"/>
      <c r="B384" s="37"/>
      <c r="C384" s="37"/>
      <c r="D384" s="37"/>
      <c r="E384" s="37"/>
      <c r="F384" s="38"/>
    </row>
    <row r="385" spans="1:6" x14ac:dyDescent="0.3">
      <c r="A385" s="37"/>
      <c r="B385" s="37"/>
      <c r="C385" s="37"/>
      <c r="D385" s="37"/>
      <c r="E385" s="37"/>
      <c r="F385" s="38"/>
    </row>
    <row r="386" spans="1:6" x14ac:dyDescent="0.3">
      <c r="A386" s="37"/>
      <c r="B386" s="37"/>
      <c r="C386" s="37"/>
      <c r="D386" s="37"/>
      <c r="E386" s="37"/>
      <c r="F386" s="38"/>
    </row>
    <row r="387" spans="1:6" x14ac:dyDescent="0.3">
      <c r="A387" s="37"/>
      <c r="B387" s="37"/>
      <c r="C387" s="37"/>
      <c r="D387" s="37"/>
      <c r="E387" s="37"/>
      <c r="F387" s="38"/>
    </row>
    <row r="388" spans="1:6" x14ac:dyDescent="0.3">
      <c r="A388" s="37"/>
      <c r="B388" s="37"/>
      <c r="C388" s="37"/>
      <c r="D388" s="37"/>
      <c r="E388" s="37"/>
      <c r="F388" s="38"/>
    </row>
    <row r="389" spans="1:6" x14ac:dyDescent="0.3">
      <c r="A389" s="37"/>
      <c r="B389" s="37"/>
      <c r="C389" s="37"/>
      <c r="D389" s="37"/>
      <c r="E389" s="37"/>
      <c r="F389" s="38"/>
    </row>
    <row r="390" spans="1:6" x14ac:dyDescent="0.3">
      <c r="A390" s="37"/>
      <c r="B390" s="37"/>
      <c r="C390" s="37"/>
      <c r="D390" s="37"/>
      <c r="E390" s="37"/>
      <c r="F390" s="38"/>
    </row>
    <row r="391" spans="1:6" x14ac:dyDescent="0.3">
      <c r="A391" s="37"/>
      <c r="B391" s="37"/>
      <c r="C391" s="37"/>
      <c r="D391" s="37"/>
      <c r="E391" s="37"/>
      <c r="F391" s="38"/>
    </row>
    <row r="392" spans="1:6" x14ac:dyDescent="0.3">
      <c r="A392" s="37"/>
      <c r="B392" s="37"/>
      <c r="C392" s="37"/>
      <c r="D392" s="37"/>
      <c r="E392" s="37"/>
      <c r="F392" s="38"/>
    </row>
    <row r="393" spans="1:6" x14ac:dyDescent="0.3">
      <c r="A393" s="37"/>
      <c r="B393" s="37"/>
      <c r="C393" s="37"/>
      <c r="D393" s="37"/>
      <c r="E393" s="37"/>
      <c r="F393" s="38"/>
    </row>
    <row r="394" spans="1:6" x14ac:dyDescent="0.3">
      <c r="A394" s="37"/>
      <c r="B394" s="37"/>
      <c r="C394" s="37"/>
      <c r="D394" s="37"/>
      <c r="E394" s="37"/>
      <c r="F394" s="38"/>
    </row>
    <row r="395" spans="1:6" x14ac:dyDescent="0.3">
      <c r="A395" s="37"/>
      <c r="B395" s="37"/>
      <c r="C395" s="37"/>
      <c r="D395" s="37"/>
      <c r="E395" s="37"/>
      <c r="F395" s="38"/>
    </row>
    <row r="396" spans="1:6" x14ac:dyDescent="0.3">
      <c r="A396" s="37"/>
      <c r="B396" s="37"/>
      <c r="C396" s="37"/>
      <c r="D396" s="37"/>
      <c r="E396" s="37"/>
      <c r="F396" s="38"/>
    </row>
    <row r="397" spans="1:6" x14ac:dyDescent="0.3">
      <c r="A397" s="37"/>
      <c r="B397" s="37"/>
      <c r="C397" s="37"/>
      <c r="D397" s="37"/>
      <c r="E397" s="37"/>
      <c r="F397" s="38"/>
    </row>
    <row r="398" spans="1:6" x14ac:dyDescent="0.3">
      <c r="A398" s="37"/>
      <c r="B398" s="37"/>
      <c r="C398" s="37"/>
      <c r="D398" s="37"/>
      <c r="E398" s="37"/>
      <c r="F398" s="38"/>
    </row>
    <row r="399" spans="1:6" x14ac:dyDescent="0.3">
      <c r="A399" s="37"/>
      <c r="B399" s="37"/>
      <c r="C399" s="37"/>
      <c r="D399" s="37"/>
      <c r="E399" s="37"/>
      <c r="F399" s="38"/>
    </row>
    <row r="400" spans="1:6" x14ac:dyDescent="0.3">
      <c r="A400" s="37"/>
      <c r="B400" s="37"/>
      <c r="C400" s="37"/>
      <c r="D400" s="37"/>
      <c r="E400" s="37"/>
      <c r="F400" s="38"/>
    </row>
    <row r="401" spans="1:6" x14ac:dyDescent="0.3">
      <c r="A401" s="37"/>
      <c r="B401" s="37"/>
      <c r="C401" s="37"/>
      <c r="D401" s="37"/>
      <c r="E401" s="37"/>
      <c r="F401" s="38"/>
    </row>
    <row r="402" spans="1:6" x14ac:dyDescent="0.3">
      <c r="A402" s="37"/>
      <c r="B402" s="37"/>
      <c r="C402" s="37"/>
      <c r="D402" s="37"/>
      <c r="E402" s="37"/>
      <c r="F402" s="38"/>
    </row>
    <row r="403" spans="1:6" x14ac:dyDescent="0.3">
      <c r="A403" s="37"/>
      <c r="B403" s="37"/>
      <c r="C403" s="37"/>
      <c r="D403" s="37"/>
      <c r="E403" s="37"/>
      <c r="F403" s="38"/>
    </row>
    <row r="404" spans="1:6" x14ac:dyDescent="0.3">
      <c r="A404" s="37"/>
      <c r="B404" s="37"/>
      <c r="C404" s="37"/>
      <c r="D404" s="37"/>
      <c r="E404" s="37"/>
      <c r="F404" s="38"/>
    </row>
    <row r="405" spans="1:6" x14ac:dyDescent="0.3">
      <c r="A405" s="37"/>
      <c r="B405" s="37"/>
      <c r="C405" s="37"/>
      <c r="D405" s="37"/>
      <c r="E405" s="37"/>
      <c r="F405" s="38"/>
    </row>
    <row r="406" spans="1:6" x14ac:dyDescent="0.3">
      <c r="A406" s="37"/>
      <c r="B406" s="37"/>
      <c r="C406" s="37"/>
      <c r="D406" s="37"/>
      <c r="E406" s="37"/>
      <c r="F406" s="38"/>
    </row>
    <row r="407" spans="1:6" x14ac:dyDescent="0.3">
      <c r="A407" s="37"/>
      <c r="B407" s="37"/>
      <c r="C407" s="37"/>
      <c r="D407" s="37"/>
      <c r="E407" s="37"/>
      <c r="F407" s="38"/>
    </row>
    <row r="408" spans="1:6" x14ac:dyDescent="0.3">
      <c r="A408" s="37"/>
      <c r="B408" s="37"/>
      <c r="C408" s="37"/>
      <c r="D408" s="37"/>
      <c r="E408" s="37"/>
      <c r="F408" s="38"/>
    </row>
    <row r="409" spans="1:6" x14ac:dyDescent="0.3">
      <c r="A409" s="37"/>
      <c r="B409" s="37"/>
      <c r="C409" s="37"/>
      <c r="D409" s="37"/>
      <c r="E409" s="37"/>
      <c r="F409" s="38"/>
    </row>
    <row r="410" spans="1:6" x14ac:dyDescent="0.3">
      <c r="A410" s="37"/>
      <c r="B410" s="37"/>
      <c r="C410" s="37"/>
      <c r="D410" s="37"/>
      <c r="E410" s="37"/>
      <c r="F410" s="38"/>
    </row>
    <row r="411" spans="1:6" x14ac:dyDescent="0.3">
      <c r="A411" s="37"/>
      <c r="B411" s="37"/>
      <c r="C411" s="37"/>
      <c r="D411" s="37"/>
      <c r="E411" s="37"/>
      <c r="F411" s="38"/>
    </row>
    <row r="412" spans="1:6" x14ac:dyDescent="0.3">
      <c r="A412" s="37"/>
      <c r="B412" s="37"/>
      <c r="C412" s="37"/>
      <c r="D412" s="37"/>
      <c r="E412" s="37"/>
      <c r="F412" s="38"/>
    </row>
    <row r="413" spans="1:6" x14ac:dyDescent="0.3">
      <c r="A413" s="37"/>
      <c r="B413" s="37"/>
      <c r="C413" s="37"/>
      <c r="D413" s="37"/>
      <c r="E413" s="37"/>
      <c r="F413" s="38"/>
    </row>
    <row r="414" spans="1:6" x14ac:dyDescent="0.3">
      <c r="A414" s="37"/>
      <c r="B414" s="37"/>
      <c r="C414" s="37"/>
      <c r="D414" s="37"/>
      <c r="E414" s="37"/>
      <c r="F414" s="38"/>
    </row>
    <row r="415" spans="1:6" x14ac:dyDescent="0.3">
      <c r="A415" s="37"/>
      <c r="B415" s="37"/>
      <c r="C415" s="37"/>
      <c r="D415" s="37"/>
      <c r="E415" s="37"/>
      <c r="F415" s="38"/>
    </row>
    <row r="416" spans="1:6" x14ac:dyDescent="0.3">
      <c r="A416" s="37"/>
      <c r="B416" s="37"/>
      <c r="C416" s="37"/>
      <c r="D416" s="37"/>
      <c r="E416" s="37"/>
      <c r="F416" s="38"/>
    </row>
    <row r="417" spans="1:6" x14ac:dyDescent="0.3">
      <c r="A417" s="37"/>
      <c r="B417" s="37"/>
      <c r="C417" s="37"/>
      <c r="D417" s="37"/>
      <c r="E417" s="37"/>
      <c r="F417" s="38"/>
    </row>
    <row r="418" spans="1:6" x14ac:dyDescent="0.3">
      <c r="A418" s="37"/>
      <c r="B418" s="37"/>
      <c r="C418" s="37"/>
      <c r="D418" s="37"/>
      <c r="E418" s="37"/>
      <c r="F418" s="38"/>
    </row>
    <row r="419" spans="1:6" x14ac:dyDescent="0.3">
      <c r="A419" s="37"/>
      <c r="B419" s="37"/>
      <c r="C419" s="37"/>
      <c r="D419" s="37"/>
      <c r="E419" s="37"/>
      <c r="F419" s="38"/>
    </row>
    <row r="420" spans="1:6" x14ac:dyDescent="0.3">
      <c r="A420" s="37"/>
      <c r="B420" s="37"/>
      <c r="C420" s="37"/>
      <c r="D420" s="37"/>
      <c r="E420" s="37"/>
      <c r="F420" s="38"/>
    </row>
    <row r="421" spans="1:6" x14ac:dyDescent="0.3">
      <c r="A421" s="37"/>
      <c r="B421" s="37"/>
      <c r="C421" s="37"/>
      <c r="D421" s="37"/>
      <c r="E421" s="37"/>
      <c r="F421" s="38"/>
    </row>
    <row r="422" spans="1:6" x14ac:dyDescent="0.3">
      <c r="A422" s="37"/>
      <c r="B422" s="37"/>
      <c r="C422" s="37"/>
      <c r="D422" s="37"/>
      <c r="E422" s="37"/>
      <c r="F422" s="38"/>
    </row>
    <row r="423" spans="1:6" x14ac:dyDescent="0.3">
      <c r="A423" s="37"/>
      <c r="B423" s="37"/>
      <c r="C423" s="37"/>
      <c r="D423" s="37"/>
      <c r="E423" s="37"/>
      <c r="F423" s="38"/>
    </row>
    <row r="424" spans="1:6" x14ac:dyDescent="0.3">
      <c r="A424" s="37"/>
      <c r="B424" s="37"/>
      <c r="C424" s="37"/>
      <c r="D424" s="37"/>
      <c r="E424" s="37"/>
      <c r="F424" s="38"/>
    </row>
    <row r="425" spans="1:6" x14ac:dyDescent="0.3">
      <c r="A425" s="37"/>
      <c r="B425" s="37"/>
      <c r="C425" s="37"/>
      <c r="D425" s="37"/>
      <c r="E425" s="37"/>
      <c r="F425" s="38"/>
    </row>
    <row r="426" spans="1:6" x14ac:dyDescent="0.3">
      <c r="A426" s="37"/>
      <c r="B426" s="37"/>
      <c r="C426" s="37"/>
      <c r="D426" s="37"/>
      <c r="E426" s="37"/>
      <c r="F426" s="38"/>
    </row>
    <row r="427" spans="1:6" x14ac:dyDescent="0.3">
      <c r="A427" s="37"/>
      <c r="B427" s="37"/>
      <c r="C427" s="37"/>
      <c r="D427" s="37"/>
      <c r="E427" s="37"/>
      <c r="F427" s="38"/>
    </row>
    <row r="428" spans="1:6" x14ac:dyDescent="0.3">
      <c r="A428" s="37"/>
      <c r="B428" s="37"/>
      <c r="C428" s="37"/>
      <c r="D428" s="37"/>
      <c r="E428" s="37"/>
      <c r="F428" s="38"/>
    </row>
    <row r="429" spans="1:6" x14ac:dyDescent="0.3">
      <c r="A429" s="37"/>
      <c r="B429" s="37"/>
      <c r="C429" s="37"/>
      <c r="D429" s="37"/>
      <c r="E429" s="37"/>
      <c r="F429" s="38"/>
    </row>
    <row r="430" spans="1:6" x14ac:dyDescent="0.3">
      <c r="A430" s="37"/>
      <c r="B430" s="37"/>
      <c r="C430" s="37"/>
      <c r="D430" s="37"/>
      <c r="E430" s="37"/>
      <c r="F430" s="38"/>
    </row>
    <row r="431" spans="1:6" x14ac:dyDescent="0.3">
      <c r="A431" s="37"/>
      <c r="B431" s="37"/>
      <c r="C431" s="37"/>
      <c r="D431" s="37"/>
      <c r="E431" s="37"/>
      <c r="F431" s="38"/>
    </row>
    <row r="432" spans="1:6" x14ac:dyDescent="0.3">
      <c r="A432" s="37"/>
      <c r="B432" s="37"/>
      <c r="C432" s="37"/>
      <c r="D432" s="37"/>
      <c r="E432" s="37"/>
      <c r="F432" s="38"/>
    </row>
    <row r="433" spans="1:6" x14ac:dyDescent="0.3">
      <c r="A433" s="37"/>
      <c r="B433" s="37"/>
      <c r="C433" s="37"/>
      <c r="D433" s="37"/>
      <c r="E433" s="37"/>
      <c r="F433" s="38"/>
    </row>
    <row r="434" spans="1:6" x14ac:dyDescent="0.3">
      <c r="A434" s="37"/>
      <c r="B434" s="37"/>
      <c r="C434" s="37"/>
      <c r="D434" s="37"/>
      <c r="E434" s="37"/>
      <c r="F434" s="38"/>
    </row>
    <row r="435" spans="1:6" x14ac:dyDescent="0.3">
      <c r="A435" s="37"/>
      <c r="B435" s="37"/>
      <c r="C435" s="37"/>
      <c r="D435" s="37"/>
      <c r="E435" s="37"/>
      <c r="F435" s="38"/>
    </row>
    <row r="436" spans="1:6" x14ac:dyDescent="0.3">
      <c r="A436" s="37"/>
      <c r="B436" s="37"/>
      <c r="C436" s="37"/>
      <c r="D436" s="37"/>
      <c r="E436" s="37"/>
      <c r="F436" s="38"/>
    </row>
    <row r="437" spans="1:6" x14ac:dyDescent="0.3">
      <c r="A437" s="37"/>
      <c r="B437" s="37"/>
      <c r="C437" s="37"/>
      <c r="D437" s="37"/>
      <c r="E437" s="37"/>
      <c r="F437" s="38"/>
    </row>
    <row r="438" spans="1:6" x14ac:dyDescent="0.3">
      <c r="A438" s="37"/>
      <c r="B438" s="37"/>
      <c r="C438" s="37"/>
      <c r="D438" s="37"/>
      <c r="E438" s="37"/>
      <c r="F438" s="38"/>
    </row>
    <row r="439" spans="1:6" x14ac:dyDescent="0.3">
      <c r="A439" s="37"/>
      <c r="B439" s="37"/>
      <c r="C439" s="37"/>
      <c r="D439" s="37"/>
      <c r="E439" s="37"/>
      <c r="F439" s="38"/>
    </row>
    <row r="440" spans="1:6" x14ac:dyDescent="0.3">
      <c r="A440" s="37"/>
      <c r="B440" s="37"/>
      <c r="C440" s="37"/>
      <c r="D440" s="37"/>
      <c r="E440" s="37"/>
      <c r="F440" s="38"/>
    </row>
    <row r="441" spans="1:6" x14ac:dyDescent="0.3">
      <c r="A441" s="37"/>
      <c r="B441" s="37"/>
      <c r="C441" s="37"/>
      <c r="D441" s="37"/>
      <c r="E441" s="37"/>
      <c r="F441" s="38"/>
    </row>
    <row r="442" spans="1:6" x14ac:dyDescent="0.3">
      <c r="A442" s="37"/>
      <c r="B442" s="37"/>
      <c r="C442" s="37"/>
      <c r="D442" s="37"/>
      <c r="E442" s="37"/>
      <c r="F442" s="38"/>
    </row>
    <row r="443" spans="1:6" x14ac:dyDescent="0.3">
      <c r="A443" s="37"/>
      <c r="B443" s="37"/>
      <c r="C443" s="37"/>
      <c r="D443" s="37"/>
      <c r="E443" s="37"/>
      <c r="F443" s="38"/>
    </row>
    <row r="444" spans="1:6" x14ac:dyDescent="0.3">
      <c r="A444" s="37"/>
      <c r="B444" s="37"/>
      <c r="C444" s="37"/>
      <c r="D444" s="37"/>
      <c r="E444" s="37"/>
      <c r="F444" s="38"/>
    </row>
    <row r="445" spans="1:6" x14ac:dyDescent="0.3">
      <c r="A445" s="37"/>
      <c r="B445" s="37"/>
      <c r="C445" s="37"/>
      <c r="D445" s="37"/>
      <c r="E445" s="37"/>
      <c r="F445" s="38"/>
    </row>
    <row r="446" spans="1:6" x14ac:dyDescent="0.3">
      <c r="A446" s="37"/>
      <c r="B446" s="37"/>
      <c r="C446" s="37"/>
      <c r="D446" s="37"/>
      <c r="E446" s="37"/>
      <c r="F446" s="38"/>
    </row>
    <row r="447" spans="1:6" x14ac:dyDescent="0.3">
      <c r="A447" s="37"/>
      <c r="B447" s="37"/>
      <c r="C447" s="37"/>
      <c r="D447" s="37"/>
      <c r="E447" s="37"/>
      <c r="F447" s="38"/>
    </row>
    <row r="448" spans="1:6" x14ac:dyDescent="0.3">
      <c r="A448" s="39"/>
      <c r="B448" s="39"/>
      <c r="C448" s="39"/>
      <c r="D448" s="39"/>
      <c r="E448" s="39"/>
      <c r="F448" s="40"/>
    </row>
    <row r="449" spans="1:6" x14ac:dyDescent="0.3">
      <c r="A449" s="39"/>
      <c r="B449" s="39"/>
      <c r="C449" s="39"/>
      <c r="D449" s="39"/>
      <c r="E449" s="39"/>
      <c r="F449" s="40"/>
    </row>
    <row r="450" spans="1:6" x14ac:dyDescent="0.3">
      <c r="A450" s="39"/>
      <c r="B450" s="39"/>
      <c r="C450" s="39"/>
      <c r="D450" s="39"/>
      <c r="E450" s="39"/>
      <c r="F450" s="40"/>
    </row>
    <row r="451" spans="1:6" x14ac:dyDescent="0.3">
      <c r="A451" s="39"/>
      <c r="B451" s="39"/>
      <c r="C451" s="39"/>
      <c r="D451" s="39"/>
      <c r="E451" s="39"/>
      <c r="F451" s="40"/>
    </row>
    <row r="452" spans="1:6" x14ac:dyDescent="0.3">
      <c r="A452" s="39"/>
      <c r="B452" s="39"/>
      <c r="C452" s="39"/>
      <c r="D452" s="39"/>
      <c r="E452" s="39"/>
      <c r="F452" s="40"/>
    </row>
    <row r="453" spans="1:6" x14ac:dyDescent="0.3">
      <c r="A453" s="39"/>
      <c r="B453" s="39"/>
      <c r="C453" s="39"/>
      <c r="D453" s="39"/>
      <c r="E453" s="39"/>
      <c r="F453" s="40"/>
    </row>
    <row r="454" spans="1:6" x14ac:dyDescent="0.3">
      <c r="A454" s="39"/>
      <c r="B454" s="39"/>
      <c r="C454" s="39"/>
      <c r="D454" s="39"/>
      <c r="E454" s="39"/>
      <c r="F454" s="39"/>
    </row>
  </sheetData>
  <mergeCells count="92">
    <mergeCell ref="G225:G232"/>
    <mergeCell ref="F225:F232"/>
    <mergeCell ref="F15:F20"/>
    <mergeCell ref="G15:G20"/>
    <mergeCell ref="G24:G26"/>
    <mergeCell ref="F24:F26"/>
    <mergeCell ref="F209:F215"/>
    <mergeCell ref="G209:G215"/>
    <mergeCell ref="G186:G192"/>
    <mergeCell ref="F186:F192"/>
    <mergeCell ref="F131:F138"/>
    <mergeCell ref="G131:G138"/>
    <mergeCell ref="F139:F146"/>
    <mergeCell ref="G139:G146"/>
    <mergeCell ref="F155:F162"/>
    <mergeCell ref="G155:G162"/>
    <mergeCell ref="D233:E233"/>
    <mergeCell ref="D218:E218"/>
    <mergeCell ref="D220:E220"/>
    <mergeCell ref="D221:E221"/>
    <mergeCell ref="D222:E222"/>
    <mergeCell ref="D223:E223"/>
    <mergeCell ref="D224:E224"/>
    <mergeCell ref="D225:E225"/>
    <mergeCell ref="D226:E226"/>
    <mergeCell ref="D227:E227"/>
    <mergeCell ref="D228:E228"/>
    <mergeCell ref="D229:E229"/>
    <mergeCell ref="D230:E230"/>
    <mergeCell ref="D231:E231"/>
    <mergeCell ref="D232:E232"/>
    <mergeCell ref="D217:E217"/>
    <mergeCell ref="D219:E219"/>
    <mergeCell ref="F217:F224"/>
    <mergeCell ref="G217:G224"/>
    <mergeCell ref="A216:G216"/>
    <mergeCell ref="A208:G208"/>
    <mergeCell ref="G178:G185"/>
    <mergeCell ref="F178:F185"/>
    <mergeCell ref="F171:F173"/>
    <mergeCell ref="G164:G170"/>
    <mergeCell ref="G171:G173"/>
    <mergeCell ref="F174:F176"/>
    <mergeCell ref="G174:G176"/>
    <mergeCell ref="A177:G177"/>
    <mergeCell ref="F193:F200"/>
    <mergeCell ref="G193:G200"/>
    <mergeCell ref="F201:F207"/>
    <mergeCell ref="G201:G207"/>
    <mergeCell ref="A73:G73"/>
    <mergeCell ref="F58:F72"/>
    <mergeCell ref="G58:G72"/>
    <mergeCell ref="F123:F130"/>
    <mergeCell ref="F164:F170"/>
    <mergeCell ref="G123:G130"/>
    <mergeCell ref="A121:B121"/>
    <mergeCell ref="F74:F113"/>
    <mergeCell ref="G74:G113"/>
    <mergeCell ref="A122:G122"/>
    <mergeCell ref="G114:G118"/>
    <mergeCell ref="F114:F118"/>
    <mergeCell ref="A120:B120"/>
    <mergeCell ref="F147:F154"/>
    <mergeCell ref="G147:G154"/>
    <mergeCell ref="A163:G163"/>
    <mergeCell ref="F46:F53"/>
    <mergeCell ref="G46:G53"/>
    <mergeCell ref="F54:F56"/>
    <mergeCell ref="G54:G56"/>
    <mergeCell ref="A57:G57"/>
    <mergeCell ref="G27:G34"/>
    <mergeCell ref="A14:G14"/>
    <mergeCell ref="F35:F37"/>
    <mergeCell ref="G35:G37"/>
    <mergeCell ref="F38:F45"/>
    <mergeCell ref="G38:G45"/>
    <mergeCell ref="A1:G1"/>
    <mergeCell ref="A2:G2"/>
    <mergeCell ref="C235:D235"/>
    <mergeCell ref="C237:D237"/>
    <mergeCell ref="A119:B119"/>
    <mergeCell ref="D3:F3"/>
    <mergeCell ref="G3:G4"/>
    <mergeCell ref="C3:C4"/>
    <mergeCell ref="B3:B4"/>
    <mergeCell ref="A3:A4"/>
    <mergeCell ref="A6:G6"/>
    <mergeCell ref="F7:F13"/>
    <mergeCell ref="F21:F23"/>
    <mergeCell ref="G7:G13"/>
    <mergeCell ref="G21:G23"/>
    <mergeCell ref="F27:F34"/>
  </mergeCells>
  <pageMargins left="0.7" right="0.7" top="0.75" bottom="0.75" header="0.3" footer="0.3"/>
  <pageSetup paperSize="9" scale="47" fitToHeight="0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A025A8D3-FD52-4D0A-8337-04EDE9A5B8E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Исходные данные</vt:lpstr>
      <vt:lpstr>ВОР без габиона</vt:lpstr>
      <vt:lpstr>ВОР с габионом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Пользователь Пользователь</dc:creator>
  <cp:lastModifiedBy>pc 10</cp:lastModifiedBy>
  <cp:lastPrinted>2024-10-29T18:43:27Z</cp:lastPrinted>
  <dcterms:created xsi:type="dcterms:W3CDTF">2024-07-26T19:44:05Z</dcterms:created>
  <dcterms:modified xsi:type="dcterms:W3CDTF">2024-10-29T18:43:27Z</dcterms:modified>
</cp:coreProperties>
</file>